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040" windowHeight="15720"/>
  </bookViews>
  <sheets>
    <sheet name="2025-March" sheetId="8" r:id="rId1"/>
    <sheet name="2025-February" sheetId="6" r:id="rId2"/>
    <sheet name="2025-January" sheetId="5" r:id="rId3"/>
  </sheets>
  <definedNames>
    <definedName name="_xlnm._FilterDatabase" localSheetId="0" hidden="1">'2025-March'!$A$2:$Q$89</definedName>
    <definedName name="_xlnm._FilterDatabase" localSheetId="1" hidden="1">'2025-February'!$A$2:$O$81</definedName>
    <definedName name="_xlnm._FilterDatabase" localSheetId="2" hidden="1">'2025-January'!$A$2:$M$64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<sst xmlns="http://schemas.openxmlformats.org/spreadsheetml/2006/main" count="1454" uniqueCount="248">
  <si>
    <t>2025 March US ICT Project Summary</t>
  </si>
  <si>
    <t>#</t>
  </si>
  <si>
    <t>Date</t>
  </si>
  <si>
    <t>Project</t>
  </si>
  <si>
    <t>Category</t>
  </si>
  <si>
    <t>Subcategory</t>
  </si>
  <si>
    <t>Status</t>
  </si>
  <si>
    <t>Sales</t>
  </si>
  <si>
    <t>CMI Quote No</t>
  </si>
  <si>
    <t>CID</t>
  </si>
  <si>
    <t>Current Status</t>
  </si>
  <si>
    <t>BSD</t>
  </si>
  <si>
    <t>NRC</t>
  </si>
  <si>
    <t>MRC
(Month)</t>
  </si>
  <si>
    <t>TCV amount 
（USD，CNY）</t>
  </si>
  <si>
    <t>TCV amount
(USD)</t>
  </si>
  <si>
    <t>商机归属</t>
  </si>
  <si>
    <t>Note</t>
  </si>
  <si>
    <t>RS240418-8x8-上海POP防火墙升级采购两台FG601f</t>
  </si>
  <si>
    <t>ICT业务</t>
  </si>
  <si>
    <t>弱电</t>
  </si>
  <si>
    <t>Won</t>
  </si>
  <si>
    <t>Robert Song</t>
  </si>
  <si>
    <t>CMI-Q-ICTS-2024074268</t>
  </si>
  <si>
    <t>EBEI0169</t>
  </si>
  <si>
    <t>Bill Started</t>
  </si>
  <si>
    <t>One-off</t>
  </si>
  <si>
    <t>美国单元</t>
  </si>
  <si>
    <t>2024/12/18</t>
  </si>
  <si>
    <t>RS241218-Bandwidth-China DID</t>
  </si>
  <si>
    <t>传统业务转ICT订单</t>
  </si>
  <si>
    <t>DID</t>
  </si>
  <si>
    <t>CMI-Q-ICTS-2024128618</t>
  </si>
  <si>
    <t>Contract</t>
  </si>
  <si>
    <t>RS241218-inContact-China DID</t>
  </si>
  <si>
    <t>CMI-Q-ICTS-2024128617</t>
  </si>
  <si>
    <t>RS241216-枫叶互动-LA办公室弱电项目</t>
  </si>
  <si>
    <t>CMI-Q-ICTS-2025035552</t>
  </si>
  <si>
    <t>CRZM0001</t>
  </si>
  <si>
    <t>Delivery</t>
  </si>
  <si>
    <t>RS250117-枫叶互动-LA Office GPU服务器</t>
  </si>
  <si>
    <t>Ongoing</t>
  </si>
  <si>
    <t>RS250122-枫叶互动-湾区办公室网络建设</t>
  </si>
  <si>
    <t>RS250123-8x8-1月新增China DID</t>
  </si>
  <si>
    <t>CMI-Q-ICTS-2025011981</t>
  </si>
  <si>
    <t>EBEI0175</t>
  </si>
  <si>
    <t>CMI-Q-ICTS-2025011992</t>
  </si>
  <si>
    <t>EBEI0173</t>
  </si>
  <si>
    <t>12/26/2024</t>
  </si>
  <si>
    <t>CMI-Q-ICTS-2025011993</t>
  </si>
  <si>
    <t>EBEI0174</t>
  </si>
  <si>
    <t>RS250123-DIDWW-1月新增China DID</t>
  </si>
  <si>
    <t>CMI-Q-ICTS-2025012096</t>
  </si>
  <si>
    <t>DDWW0004</t>
  </si>
  <si>
    <t>RS250227-8x8-2月1281个DID续约</t>
  </si>
  <si>
    <t>RS250227-Zoom-2月2299个DID续约</t>
  </si>
  <si>
    <t>RS250320-Everbridge-China DID&amp;SIP TRUNK续约</t>
  </si>
  <si>
    <t>RS250320-牙买加车队-管理软件平台</t>
  </si>
  <si>
    <t>IOT业务</t>
  </si>
  <si>
    <t>IOT</t>
  </si>
  <si>
    <t>QZ0916-骆驼电池-一期</t>
  </si>
  <si>
    <t>Qingyan Zhang</t>
  </si>
  <si>
    <t>CMI-Q-ICTS-2024106276</t>
  </si>
  <si>
    <t>CEMM0001</t>
  </si>
  <si>
    <t>商机协同</t>
  </si>
  <si>
    <t>据销售反馈美国单元TCV比例是40%</t>
  </si>
  <si>
    <t>QZ0916-骆驼电池-二期</t>
  </si>
  <si>
    <t>CMI-Q-ICTS-2024112724</t>
  </si>
  <si>
    <t>CEMM0002</t>
  </si>
  <si>
    <t>QZ0916-骆驼电池-三期</t>
  </si>
  <si>
    <t>CMI-Q-ICTS-2024111100</t>
  </si>
  <si>
    <t>CAME0001</t>
  </si>
  <si>
    <t>据销售反馈美国单元TCV比例是100%</t>
  </si>
  <si>
    <t>QZ231122-招商银行-纽约分行机房搬迁改造项目</t>
  </si>
  <si>
    <t>强电&amp;弱电</t>
  </si>
  <si>
    <t>QZ231122-招商银行-17楼会议室</t>
  </si>
  <si>
    <t>CMI-Q-ICTS-2025010002</t>
  </si>
  <si>
    <t>CMB-0001</t>
  </si>
  <si>
    <t>QZ241114-招商银行-23楼UPS拆除</t>
  </si>
  <si>
    <t>强电</t>
  </si>
  <si>
    <t>QZ241028-宁波拓普-北代协同Austin工厂项目</t>
  </si>
  <si>
    <t>CMI-Q-ICTS-2024111658</t>
  </si>
  <si>
    <t>TUOP0001</t>
  </si>
  <si>
    <t>QZ250107-敏实-加拿大工厂弱电项目</t>
  </si>
  <si>
    <t>QZ250113-万润-美国工厂项目</t>
  </si>
  <si>
    <t>QZ250114-海柔-肯塔基货柜安装</t>
  </si>
  <si>
    <t>货架安装</t>
  </si>
  <si>
    <t>CMI-Q-ICTS-2025012205</t>
  </si>
  <si>
    <t>HRRB0002</t>
  </si>
  <si>
    <t>QZ250207-海柔洛杉矶仓库强弱电项目</t>
  </si>
  <si>
    <t>QZ250220-海柔LA仓库喷淋系统</t>
  </si>
  <si>
    <t>喷淋系统</t>
  </si>
  <si>
    <t>QZ250226-车联天下-底特律工厂</t>
  </si>
  <si>
    <t>QZ250303-创元-LA采购一体式机柜</t>
  </si>
  <si>
    <t>QZ250306-华睿-芝加哥工厂强弱电</t>
  </si>
  <si>
    <t>CL241008-EVE-USH洛杉矶办公室网络建设</t>
  </si>
  <si>
    <t>Suspend</t>
  </si>
  <si>
    <t>Christine Luo</t>
  </si>
  <si>
    <t>据销售反馈美国单元TCV比例是50%</t>
  </si>
  <si>
    <t>CL240620-携程-洛杉矶办公室</t>
  </si>
  <si>
    <t xml:space="preserve">CMI-Q-ICTS-2024092349 </t>
  </si>
  <si>
    <t>CITU0001</t>
  </si>
  <si>
    <t>Go into Operation</t>
  </si>
  <si>
    <t>CL241014-BOCA-Media设备和安装</t>
  </si>
  <si>
    <t>CMI-Q-ICTS-2025023927</t>
  </si>
  <si>
    <t>BAVI0003</t>
  </si>
  <si>
    <t xml:space="preserve">Delivery </t>
  </si>
  <si>
    <t>CL241014-BOCA-会议室设备</t>
  </si>
  <si>
    <t>CMI-Q-ICTS-2025035318</t>
  </si>
  <si>
    <t>CL241119-蚂蚁金服-工作站协同项目</t>
  </si>
  <si>
    <t>CMI-Q-ICTS-2024126681</t>
  </si>
  <si>
    <t>ANUS0001</t>
  </si>
  <si>
    <t>CL241115-DIDI-美研所设备维保</t>
  </si>
  <si>
    <t>CL250113-DIDI-Central License</t>
  </si>
  <si>
    <t>CMI-Q-ICTS-2025011368</t>
  </si>
  <si>
    <t>DRU-0018</t>
  </si>
  <si>
    <t>2/4/2025</t>
  </si>
  <si>
    <t>CL250213-润阳三四号生产线</t>
  </si>
  <si>
    <t>CL250220-Helens-美国LA弱电项目</t>
  </si>
  <si>
    <t>土建工程</t>
  </si>
  <si>
    <t>CL250223-京东-亚特兰大，休斯顿，NJ仓库临时网络设备</t>
  </si>
  <si>
    <t>CL250311-DIDI-巴西AP采购及施工</t>
  </si>
  <si>
    <t>CL250314-京东-框架方案</t>
  </si>
  <si>
    <t>Ongl</t>
  </si>
  <si>
    <t>DQ230824-Flex-Fortinet一期硬件管理服务</t>
  </si>
  <si>
    <t>Siyuan Cheng</t>
  </si>
  <si>
    <t>CMI-Q-ICTS-2024127299</t>
  </si>
  <si>
    <t>FIUI0002</t>
  </si>
  <si>
    <t>DQ230824-Flex-Fortinet一期软件管理服务</t>
  </si>
  <si>
    <t>CMI-Q-ICTS-2024127461</t>
  </si>
  <si>
    <t>FIUI0001</t>
  </si>
  <si>
    <t>One-off (ARC)</t>
  </si>
  <si>
    <t>DQ230824-Flex-Fortinet二期硬件管理服务</t>
  </si>
  <si>
    <t>CMI-Q-ICTS-2025011867</t>
  </si>
  <si>
    <t>DQ230824-Flex-Fortinet二期软件管理服务</t>
  </si>
  <si>
    <t>CMI-Q-ICTS-2025024140</t>
  </si>
  <si>
    <t xml:space="preserve">Contract </t>
  </si>
  <si>
    <t>DL240909-HK Fog-分布式存储</t>
  </si>
  <si>
    <t>Termination</t>
  </si>
  <si>
    <t>Larry Li</t>
  </si>
  <si>
    <t>LL241011-德马-印第安纳CCTV项目</t>
  </si>
  <si>
    <t>CMI-Q-ICTS-2024110962</t>
  </si>
  <si>
    <t>DMKJ0002</t>
  </si>
  <si>
    <t>2/24/2025</t>
  </si>
  <si>
    <t>LL241011-德马-印第安纳强电项目</t>
  </si>
  <si>
    <t>CMI-Q-ICTS-2024110062</t>
  </si>
  <si>
    <t>DMKJ0001</t>
  </si>
  <si>
    <t>LL241011-金城-英国智能仓储项目</t>
  </si>
  <si>
    <t>LL241029-德马-印第安纳强电增补项目</t>
  </si>
  <si>
    <t>CMI-Q-ICTS-2024123844</t>
  </si>
  <si>
    <t>DMKJ0003</t>
  </si>
  <si>
    <t>LL241105-德马-印第安纳CCTV增补项目</t>
  </si>
  <si>
    <t>CMI-Q-ICTS-2024123845</t>
  </si>
  <si>
    <t>DMKJ0004</t>
  </si>
  <si>
    <t>LL241120-德马-印第安纳Shein系统硬件采购</t>
  </si>
  <si>
    <t>CMI-Q-ICTS-2025019239</t>
  </si>
  <si>
    <t>DMKJ0005</t>
  </si>
  <si>
    <t>LL241219-Shein-印第安纳产线监控项目</t>
  </si>
  <si>
    <t>LL241220-金珹澳大利亚智能仓储项目</t>
  </si>
  <si>
    <t>CMI-Q-ICTS-2025011868</t>
  </si>
  <si>
    <t>JISE0001</t>
  </si>
  <si>
    <t>美国单元主导-澳洲协同</t>
  </si>
  <si>
    <t>据销售反馈美国单元TCV比例是80%</t>
  </si>
  <si>
    <t>LL250210-Intellisys-圣地亚哥工厂监控安防</t>
  </si>
  <si>
    <t>LL250210-江苏金珹-达拉斯仓库货架项目</t>
  </si>
  <si>
    <t>LL250210-江苏金珹-英国Geek+智能仓储项目</t>
  </si>
  <si>
    <t>LL250210-江苏金珹-英国伯明翰仓库货架一期项目</t>
  </si>
  <si>
    <t>CMI-Q-ICTS-2025024370</t>
  </si>
  <si>
    <t>LL250210-江苏金珹-英国伯明翰仓库货架二期项目</t>
  </si>
  <si>
    <t>LL250221-江苏金城-洛杉矶智慧仓储</t>
  </si>
  <si>
    <t>LL250221-时代天使美国仓库弱电项目</t>
  </si>
  <si>
    <t>弱电集成</t>
  </si>
  <si>
    <t>LL250310-江苏金珹-澳大利亚智能仓储项目二期</t>
  </si>
  <si>
    <t>IN240529-霸王茶姬-LA弱电项目</t>
  </si>
  <si>
    <t>Ivy Ning</t>
  </si>
  <si>
    <t>IN241118-Ingrasys Technology-2 Racks and service in San Jose</t>
  </si>
  <si>
    <t>CMI-Q-ICTS-2024124400</t>
  </si>
  <si>
    <t>LGC-0004</t>
  </si>
  <si>
    <t>台湾商机协同</t>
  </si>
  <si>
    <t>IN250110-Carrier Corp-EU SD-WAN migration</t>
  </si>
  <si>
    <t>CMI-Q-ICTS-2025012094</t>
  </si>
  <si>
    <t>IN250121-Wistron NeWeb Corporation-PA工厂弱电项目</t>
  </si>
  <si>
    <t>RF241015-Sealed Air Condition-俄罗斯PM服务</t>
  </si>
  <si>
    <t>管理服务</t>
  </si>
  <si>
    <t>Elsa</t>
  </si>
  <si>
    <t>CMI-Q-ICTS-2024109189</t>
  </si>
  <si>
    <t>SHK-0001</t>
  </si>
  <si>
    <t xml:space="preserve">EX250206-Gates Foundation-BJ/HK Managed Service </t>
  </si>
  <si>
    <t>Managed Service</t>
  </si>
  <si>
    <t>CMI-Q-ICTS-2025022722</t>
  </si>
  <si>
    <t>BMGF0005</t>
  </si>
  <si>
    <t>RF250303-Brooks Sprots-BSSI0007 Renewal Managed Service</t>
  </si>
  <si>
    <t>Rae Fan</t>
  </si>
  <si>
    <t>KZ250205-Intelletrace (end user Zenni)-Shanghai飞塔设备采购</t>
  </si>
  <si>
    <t>Kaining Zhou</t>
  </si>
  <si>
    <t>KZ250206-Intelletrace (end user Zenni)-Suzhou飞塔设备采购</t>
  </si>
  <si>
    <t>KZ250207-Intelletrace (end user Zenni)-Danyang飞塔设备采购</t>
  </si>
  <si>
    <t>KZ240821-EF-87KIDS-GZ15-Expansion</t>
  </si>
  <si>
    <t>Kevin Zhang</t>
  </si>
  <si>
    <t>CMI-CR-ICTS-2024107601</t>
  </si>
  <si>
    <t>据销售反馈不计算TCV</t>
  </si>
  <si>
    <t>KZ240821-EF-89KIDS-BJ-Managed Service</t>
  </si>
  <si>
    <t>CMI-Q-ICTS-2025011332</t>
  </si>
  <si>
    <t>KZ240930-EF-89KIDS-HQ 3F-Managed Service</t>
  </si>
  <si>
    <t>CMI-Q-ICTS-2025011331</t>
  </si>
  <si>
    <t>KZ241202-知乎-2024续约</t>
  </si>
  <si>
    <t>CMI-CR-ICTS-2024107599</t>
  </si>
  <si>
    <t>ZHHK0003</t>
  </si>
  <si>
    <t>11/1/2024</t>
  </si>
  <si>
    <t>KZ250121-EF-EC-Phase 61</t>
  </si>
  <si>
    <t>CMI-CR-ICTS-2025011334</t>
  </si>
  <si>
    <t>RCGZ0053</t>
  </si>
  <si>
    <t>KZ250121-EF-EC-Phase 62</t>
  </si>
  <si>
    <t>KZ250121-EF-Kids-Phase 90</t>
  </si>
  <si>
    <t>KZ250121-EF-Kids-Phase 91</t>
  </si>
  <si>
    <t>KZ250121-EF-Kids-Phase 92</t>
  </si>
  <si>
    <t>CMI-Q-ICTS-2025011333</t>
  </si>
  <si>
    <t>KZ250121-EF-Kids-Phase 93</t>
  </si>
  <si>
    <t>KZ250212-EF-Kids-Phase 76-GZ-Teens-Relocation</t>
  </si>
  <si>
    <t>KZ250218-EF-Kids-Phase 95-CQ10-Relocation</t>
  </si>
  <si>
    <t>KZ250218-EF-Kids-Phase 96-SH23-Relocation</t>
  </si>
  <si>
    <t>KZ250218-EF-Kids-Phase 97- GZ7-GZ16-EG设备采购项目</t>
  </si>
  <si>
    <t>YL250218-Holly Tech-HOLL0001 Terminaiton</t>
  </si>
  <si>
    <t>Yulan Liang</t>
  </si>
  <si>
    <t>CMI-TS-ICTS-2025024080</t>
  </si>
  <si>
    <t>AZ250324-法国马赛海缆登陆站-Y1 Posidonia Seagrass Inspection</t>
  </si>
  <si>
    <t>海缆</t>
  </si>
  <si>
    <t>Anna Zeng</t>
  </si>
  <si>
    <t>小计</t>
  </si>
  <si>
    <t>2025 January US ICT Project Summary</t>
  </si>
  <si>
    <t>RS250123-Everbridge-1月新增China DID</t>
  </si>
  <si>
    <t>CMI-Q-ICTS-2025012097</t>
  </si>
  <si>
    <t>EVBG0002</t>
  </si>
  <si>
    <t>12/10/2024</t>
  </si>
  <si>
    <t>QZ241029-长江存储-加州办公室维保</t>
  </si>
  <si>
    <t>运维</t>
  </si>
  <si>
    <t>IN250110-Carrier Corp-EU AP Replacement</t>
  </si>
  <si>
    <t>RS221202-中建埃塞新银行项目-网络系统报价</t>
  </si>
  <si>
    <t>RS231212-阿根廷中国银行项目</t>
  </si>
  <si>
    <t>RS240614-Neword One Bay-酒店CCTV方案</t>
  </si>
  <si>
    <t>RS240919-中建埃塞网络系统-运维培训需求</t>
  </si>
  <si>
    <t>QZ240517-国家电网-会议室及ITsupport</t>
  </si>
  <si>
    <t>QZ241106-齐鲁制药-波士顿办公室VPN防火墙需求</t>
  </si>
  <si>
    <t>CL240325-船级社-纽约办公室弱电项目</t>
  </si>
  <si>
    <t>CL240626-Yizumi墨西哥-网络设备采购</t>
  </si>
  <si>
    <t>CL240701建发股份LA办公室</t>
  </si>
  <si>
    <t>CL241001-EVERGLORY CORPORATION-达拉斯仓库弱电</t>
  </si>
  <si>
    <t>CL241024-厦门海辰-美国渤海数据中心系统集成项目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</si>
</sst>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$-409]#,##0.00"/>
    <numFmt numFmtId="177" formatCode="[$¥-804]#,##0.00"/>
    <numFmt numFmtId="178" formatCode="m/d/yyyy;@"/>
  </numFmts>
  <fonts count="32">
    <font>
      <sz val="11"/>
      <color theme="1"/>
      <name val="宋体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9"/>
      <color theme="1"/>
      <name val="Arial"/>
      <charset val="134"/>
    </font>
    <font>
      <b/>
      <sz val="9"/>
      <color rgb="FF000000"/>
      <name val="Arial"/>
      <charset val="134"/>
    </font>
    <font>
      <sz val="9"/>
      <color theme="1"/>
      <name val="Arial"/>
      <charset val="134"/>
    </font>
    <font>
      <sz val="9"/>
      <color rgb="FF000000"/>
      <name val="Arial"/>
      <charset val="134"/>
    </font>
    <font>
      <sz val="9"/>
      <color rgb="FF000000"/>
      <name val="SimSun"/>
      <charset val="134"/>
    </font>
    <font>
      <sz val="9"/>
      <color theme="1"/>
      <name val="SimSun"/>
      <charset val="134"/>
    </font>
    <font>
      <sz val="9"/>
      <color theme="1"/>
      <name val="宋体"/>
      <charset val="134"/>
    </font>
    <font>
      <sz val="10"/>
      <color theme="1"/>
      <name val="宋体"/>
      <charset val="134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7" applyNumberFormat="0" applyAlignment="0" applyProtection="0">
      <alignment vertical="center"/>
    </xf>
    <xf numFmtId="0" fontId="22" fillId="6" borderId="18" applyNumberFormat="0" applyAlignment="0" applyProtection="0">
      <alignment vertical="center"/>
    </xf>
    <xf numFmtId="0" fontId="23" fillId="6" borderId="17" applyNumberFormat="0" applyAlignment="0" applyProtection="0">
      <alignment vertical="center"/>
    </xf>
    <xf numFmtId="0" fontId="24" fillId="7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10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76" fontId="2" fillId="0" borderId="0" xfId="0" applyNumberFormat="1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4" fontId="6" fillId="0" borderId="3" xfId="0" applyNumberFormat="1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49" fontId="6" fillId="0" borderId="3" xfId="0" applyNumberFormat="1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14" fontId="6" fillId="0" borderId="4" xfId="0" applyNumberFormat="1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 wrapText="1"/>
    </xf>
    <xf numFmtId="14" fontId="6" fillId="0" borderId="5" xfId="0" applyNumberFormat="1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 wrapText="1"/>
    </xf>
    <xf numFmtId="14" fontId="6" fillId="0" borderId="6" xfId="0" applyNumberFormat="1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  <xf numFmtId="176" fontId="3" fillId="0" borderId="4" xfId="0" applyNumberFormat="1" applyFont="1" applyBorder="1" applyAlignment="1">
      <alignment horizontal="center" vertical="center" wrapText="1"/>
    </xf>
    <xf numFmtId="176" fontId="5" fillId="0" borderId="3" xfId="0" applyNumberFormat="1" applyFont="1" applyBorder="1" applyAlignment="1">
      <alignment horizontal="center" vertical="center" wrapText="1"/>
    </xf>
    <xf numFmtId="176" fontId="5" fillId="0" borderId="6" xfId="0" applyNumberFormat="1" applyFont="1" applyBorder="1" applyAlignment="1">
      <alignment horizontal="center" vertical="center" wrapText="1"/>
    </xf>
    <xf numFmtId="176" fontId="5" fillId="0" borderId="4" xfId="0" applyNumberFormat="1" applyFont="1" applyBorder="1" applyAlignment="1">
      <alignment horizontal="center" vertical="center" wrapText="1"/>
    </xf>
    <xf numFmtId="176" fontId="5" fillId="0" borderId="5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9" fillId="0" borderId="3" xfId="0" applyFont="1" applyBorder="1" applyAlignment="1">
      <alignment horizontal="left" vertical="center" wrapText="1"/>
    </xf>
    <xf numFmtId="177" fontId="5" fillId="0" borderId="3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76" fontId="2" fillId="0" borderId="0" xfId="0" applyNumberFormat="1" applyFont="1" applyAlignment="1">
      <alignment horizontal="left" vertical="center" wrapText="1"/>
    </xf>
    <xf numFmtId="176" fontId="5" fillId="0" borderId="0" xfId="0" applyNumberFormat="1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76" fontId="2" fillId="0" borderId="3" xfId="0" applyNumberFormat="1" applyFont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14" fontId="6" fillId="0" borderId="3" xfId="0" applyNumberFormat="1" applyFont="1" applyFill="1" applyBorder="1" applyAlignment="1">
      <alignment horizontal="left" vertical="center" wrapText="1"/>
    </xf>
    <xf numFmtId="0" fontId="7" fillId="0" borderId="3" xfId="0" applyFont="1" applyFill="1" applyBorder="1" applyAlignment="1">
      <alignment horizontal="left" vertical="center" wrapText="1"/>
    </xf>
    <xf numFmtId="0" fontId="7" fillId="0" borderId="3" xfId="0" applyFont="1" applyFill="1" applyBorder="1" applyAlignment="1">
      <alignment horizontal="center" vertical="center" wrapText="1"/>
    </xf>
    <xf numFmtId="14" fontId="6" fillId="2" borderId="3" xfId="0" applyNumberFormat="1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 wrapText="1"/>
    </xf>
    <xf numFmtId="178" fontId="5" fillId="0" borderId="3" xfId="0" applyNumberFormat="1" applyFont="1" applyFill="1" applyBorder="1" applyAlignment="1">
      <alignment horizontal="center" vertical="center" wrapText="1"/>
    </xf>
    <xf numFmtId="176" fontId="5" fillId="0" borderId="8" xfId="0" applyNumberFormat="1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6" fontId="5" fillId="0" borderId="3" xfId="0" applyNumberFormat="1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176" fontId="5" fillId="2" borderId="3" xfId="0" applyNumberFormat="1" applyFont="1" applyFill="1" applyBorder="1" applyAlignment="1">
      <alignment horizontal="center" vertical="center" wrapText="1"/>
    </xf>
    <xf numFmtId="176" fontId="5" fillId="3" borderId="6" xfId="0" applyNumberFormat="1" applyFont="1" applyFill="1" applyBorder="1" applyAlignment="1">
      <alignment horizontal="center" vertical="center" wrapText="1"/>
    </xf>
    <xf numFmtId="176" fontId="5" fillId="3" borderId="4" xfId="0" applyNumberFormat="1" applyFont="1" applyFill="1" applyBorder="1" applyAlignment="1">
      <alignment horizontal="center" vertical="center" wrapText="1"/>
    </xf>
    <xf numFmtId="176" fontId="5" fillId="3" borderId="3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2" borderId="7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178" fontId="5" fillId="0" borderId="1" xfId="0" applyNumberFormat="1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178" fontId="5" fillId="0" borderId="11" xfId="0" applyNumberFormat="1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176" fontId="5" fillId="0" borderId="7" xfId="0" applyNumberFormat="1" applyFont="1" applyBorder="1" applyAlignment="1">
      <alignment horizontal="center" vertical="center" wrapText="1"/>
    </xf>
    <xf numFmtId="176" fontId="6" fillId="3" borderId="3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center" vertical="center" wrapText="1"/>
    </xf>
    <xf numFmtId="14" fontId="2" fillId="0" borderId="11" xfId="0" applyNumberFormat="1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14" fontId="6" fillId="0" borderId="9" xfId="0" applyNumberFormat="1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14" fontId="6" fillId="0" borderId="11" xfId="0" applyNumberFormat="1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176" fontId="5" fillId="0" borderId="9" xfId="0" applyNumberFormat="1" applyFont="1" applyBorder="1" applyAlignment="1">
      <alignment horizontal="center" vertical="center" wrapText="1"/>
    </xf>
    <xf numFmtId="176" fontId="5" fillId="0" borderId="11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70">
    <open main="170" threadCnt="1"/>
    <sheetInfos>
      <sheetInfo cellCmpFml="31" sheetStid="8">
        <open main="3" threadCnt="1"/>
      </sheetInfo>
      <sheetInfo cellCmpFml="26" sheetStid="6">
        <open main="2" threadCnt="1"/>
      </sheetInfo>
      <sheetInfo cellCmpFml="13" sheetStid="5">
        <open main="1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www.wps.cn/officeDocument/2023/relationships/woinfos" Target="woinfos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4"/>
  <sheetViews>
    <sheetView tabSelected="1" zoomScale="129" zoomScaleNormal="129" topLeftCell="F15" workbookViewId="0">
      <selection activeCell="B74" sqref="B74"/>
    </sheetView>
  </sheetViews>
  <sheetFormatPr defaultColWidth="47.2666666666667" defaultRowHeight="12.75"/>
  <cols>
    <col min="1" max="1" width="5.09166666666667" style="2" customWidth="1"/>
    <col min="2" max="2" width="9.36666666666667" style="3" customWidth="1"/>
    <col min="3" max="3" width="49.3" style="4" customWidth="1"/>
    <col min="4" max="4" width="15.45" style="2" customWidth="1"/>
    <col min="5" max="5" width="12.2166666666667" style="2" customWidth="1"/>
    <col min="6" max="6" width="10.0916666666667" style="2" customWidth="1"/>
    <col min="7" max="7" width="12" style="2" customWidth="1"/>
    <col min="8" max="8" width="25.7833333333333" style="4" customWidth="1"/>
    <col min="9" max="9" width="11.2333333333333" style="2" customWidth="1"/>
    <col min="10" max="10" width="15.6333333333333" style="2" customWidth="1"/>
    <col min="11" max="13" width="12.2666666666667" style="2" customWidth="1"/>
    <col min="14" max="15" width="13.6333333333333" style="5" customWidth="1"/>
    <col min="16" max="16" width="17.9083333333333" style="5" customWidth="1"/>
    <col min="17" max="17" width="25.9083333333333" style="2" customWidth="1"/>
    <col min="18" max="18" width="47.2666666666667" style="2" customWidth="1"/>
    <col min="19" max="16384" width="47.2666666666667" style="2"/>
  </cols>
  <sheetData>
    <row r="1" ht="13" customHeight="1" spans="1:17">
      <c r="A1" s="70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27"/>
      <c r="Q1" s="33"/>
    </row>
    <row r="2" s="1" customFormat="1" ht="24" spans="1:17">
      <c r="A2" s="8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25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75" t="s">
        <v>12</v>
      </c>
      <c r="M2" s="75" t="s">
        <v>13</v>
      </c>
      <c r="N2" s="28" t="s">
        <v>14</v>
      </c>
      <c r="O2" s="28" t="s">
        <v>15</v>
      </c>
      <c r="P2" s="28" t="s">
        <v>16</v>
      </c>
      <c r="Q2" s="8" t="s">
        <v>17</v>
      </c>
    </row>
    <row r="3" ht="14.5" customHeight="1" spans="1:17">
      <c r="A3" s="11">
        <v>1</v>
      </c>
      <c r="B3" s="12">
        <v>45400</v>
      </c>
      <c r="C3" s="13" t="s">
        <v>18</v>
      </c>
      <c r="D3" s="43" t="s">
        <v>19</v>
      </c>
      <c r="E3" s="43" t="s">
        <v>20</v>
      </c>
      <c r="F3" s="11" t="s">
        <v>21</v>
      </c>
      <c r="G3" s="16" t="s">
        <v>22</v>
      </c>
      <c r="H3" s="26" t="s">
        <v>23</v>
      </c>
      <c r="I3" s="11" t="s">
        <v>24</v>
      </c>
      <c r="J3" s="54" t="s">
        <v>25</v>
      </c>
      <c r="K3" s="76">
        <v>45703</v>
      </c>
      <c r="L3" s="72" t="s">
        <v>26</v>
      </c>
      <c r="M3" s="81"/>
      <c r="N3" s="82">
        <v>29212.2</v>
      </c>
      <c r="O3" s="29">
        <v>29212.2</v>
      </c>
      <c r="P3" s="29" t="s">
        <v>27</v>
      </c>
      <c r="Q3" s="26"/>
    </row>
    <row r="4" spans="1:17">
      <c r="A4" s="11">
        <v>2</v>
      </c>
      <c r="B4" s="14" t="s">
        <v>28</v>
      </c>
      <c r="C4" s="15" t="s">
        <v>29</v>
      </c>
      <c r="D4" s="44" t="s">
        <v>30</v>
      </c>
      <c r="E4" s="44" t="s">
        <v>31</v>
      </c>
      <c r="F4" s="11" t="s">
        <v>21</v>
      </c>
      <c r="G4" s="19"/>
      <c r="H4" s="26" t="s">
        <v>32</v>
      </c>
      <c r="I4" s="11"/>
      <c r="J4" s="11" t="s">
        <v>33</v>
      </c>
      <c r="K4" s="11"/>
      <c r="L4" s="77"/>
      <c r="M4" s="81">
        <v>12</v>
      </c>
      <c r="N4" s="61">
        <v>1200</v>
      </c>
      <c r="O4" s="30">
        <v>1200</v>
      </c>
      <c r="P4" s="29" t="s">
        <v>27</v>
      </c>
      <c r="Q4" s="26"/>
    </row>
    <row r="5" spans="1:17">
      <c r="A5" s="11">
        <v>3</v>
      </c>
      <c r="B5" s="14" t="s">
        <v>28</v>
      </c>
      <c r="C5" s="15" t="s">
        <v>34</v>
      </c>
      <c r="D5" s="44" t="s">
        <v>30</v>
      </c>
      <c r="E5" s="44" t="s">
        <v>31</v>
      </c>
      <c r="F5" s="11" t="s">
        <v>21</v>
      </c>
      <c r="G5" s="19"/>
      <c r="H5" s="26" t="s">
        <v>35</v>
      </c>
      <c r="I5" s="11"/>
      <c r="J5" s="11" t="s">
        <v>33</v>
      </c>
      <c r="K5" s="11"/>
      <c r="L5" s="77"/>
      <c r="M5" s="81">
        <v>12</v>
      </c>
      <c r="N5" s="61">
        <v>12000</v>
      </c>
      <c r="O5" s="30">
        <v>12000</v>
      </c>
      <c r="P5" s="29" t="s">
        <v>27</v>
      </c>
      <c r="Q5" s="26"/>
    </row>
    <row r="6" spans="1:17">
      <c r="A6" s="11">
        <v>4</v>
      </c>
      <c r="B6" s="12">
        <v>45642</v>
      </c>
      <c r="C6" s="13" t="s">
        <v>36</v>
      </c>
      <c r="D6" s="43" t="s">
        <v>19</v>
      </c>
      <c r="E6" s="43" t="s">
        <v>20</v>
      </c>
      <c r="F6" s="54" t="s">
        <v>21</v>
      </c>
      <c r="G6" s="19"/>
      <c r="H6" s="69" t="s">
        <v>37</v>
      </c>
      <c r="I6" s="54" t="s">
        <v>38</v>
      </c>
      <c r="J6" s="54" t="s">
        <v>39</v>
      </c>
      <c r="K6" s="11"/>
      <c r="L6" s="78" t="s">
        <v>26</v>
      </c>
      <c r="M6" s="81"/>
      <c r="N6" s="61">
        <v>169301</v>
      </c>
      <c r="O6" s="30">
        <f>N6</f>
        <v>169301</v>
      </c>
      <c r="P6" s="29" t="s">
        <v>27</v>
      </c>
      <c r="Q6" s="26"/>
    </row>
    <row r="7" spans="1:17">
      <c r="A7" s="11">
        <v>5</v>
      </c>
      <c r="B7" s="12">
        <v>45674</v>
      </c>
      <c r="C7" s="13" t="s">
        <v>40</v>
      </c>
      <c r="D7" s="43" t="s">
        <v>19</v>
      </c>
      <c r="E7" s="43" t="s">
        <v>20</v>
      </c>
      <c r="F7" s="11" t="s">
        <v>41</v>
      </c>
      <c r="G7" s="19"/>
      <c r="H7" s="26"/>
      <c r="I7" s="11"/>
      <c r="J7" s="11"/>
      <c r="K7" s="11"/>
      <c r="L7" s="22"/>
      <c r="M7" s="22"/>
      <c r="N7" s="30"/>
      <c r="O7" s="30"/>
      <c r="P7" s="29" t="s">
        <v>27</v>
      </c>
      <c r="Q7" s="26"/>
    </row>
    <row r="8" spans="1:17">
      <c r="A8" s="11">
        <v>6</v>
      </c>
      <c r="B8" s="12">
        <v>45679</v>
      </c>
      <c r="C8" s="13" t="s">
        <v>42</v>
      </c>
      <c r="D8" s="43" t="s">
        <v>19</v>
      </c>
      <c r="E8" s="43" t="s">
        <v>20</v>
      </c>
      <c r="F8" s="11" t="s">
        <v>41</v>
      </c>
      <c r="G8" s="19"/>
      <c r="H8" s="26"/>
      <c r="I8" s="11"/>
      <c r="J8" s="11"/>
      <c r="K8" s="11"/>
      <c r="L8" s="19"/>
      <c r="M8" s="19"/>
      <c r="N8" s="30"/>
      <c r="O8" s="30"/>
      <c r="P8" s="29" t="s">
        <v>27</v>
      </c>
      <c r="Q8" s="26"/>
    </row>
    <row r="9" spans="1:17">
      <c r="A9" s="16">
        <v>7</v>
      </c>
      <c r="B9" s="17">
        <v>45680</v>
      </c>
      <c r="C9" s="18" t="s">
        <v>43</v>
      </c>
      <c r="D9" s="45" t="s">
        <v>30</v>
      </c>
      <c r="E9" s="45" t="s">
        <v>31</v>
      </c>
      <c r="F9" s="16" t="s">
        <v>21</v>
      </c>
      <c r="G9" s="19"/>
      <c r="H9" s="26" t="s">
        <v>44</v>
      </c>
      <c r="I9" s="11" t="s">
        <v>45</v>
      </c>
      <c r="J9" s="54" t="s">
        <v>25</v>
      </c>
      <c r="K9" s="76">
        <v>45677</v>
      </c>
      <c r="L9" s="79"/>
      <c r="M9" s="81">
        <v>12</v>
      </c>
      <c r="N9" s="61">
        <v>144</v>
      </c>
      <c r="O9" s="31">
        <f>N9</f>
        <v>144</v>
      </c>
      <c r="P9" s="29" t="s">
        <v>27</v>
      </c>
      <c r="Q9" s="26"/>
    </row>
    <row r="10" spans="1:17">
      <c r="A10" s="19"/>
      <c r="B10" s="20"/>
      <c r="C10" s="21"/>
      <c r="D10" s="46"/>
      <c r="E10" s="46"/>
      <c r="F10" s="19"/>
      <c r="G10" s="19"/>
      <c r="H10" s="26" t="s">
        <v>46</v>
      </c>
      <c r="I10" s="11" t="s">
        <v>47</v>
      </c>
      <c r="J10" s="54" t="s">
        <v>25</v>
      </c>
      <c r="K10" s="72" t="s">
        <v>48</v>
      </c>
      <c r="L10" s="80"/>
      <c r="M10" s="81">
        <v>12</v>
      </c>
      <c r="N10" s="61">
        <v>420</v>
      </c>
      <c r="O10" s="31">
        <f>N10</f>
        <v>420</v>
      </c>
      <c r="P10" s="29" t="s">
        <v>27</v>
      </c>
      <c r="Q10" s="26"/>
    </row>
    <row r="11" spans="1:17">
      <c r="A11" s="22"/>
      <c r="B11" s="23"/>
      <c r="C11" s="24"/>
      <c r="D11" s="47"/>
      <c r="E11" s="47"/>
      <c r="F11" s="22"/>
      <c r="G11" s="19"/>
      <c r="H11" s="26" t="s">
        <v>49</v>
      </c>
      <c r="I11" s="11" t="s">
        <v>50</v>
      </c>
      <c r="J11" s="54" t="s">
        <v>25</v>
      </c>
      <c r="K11" s="76">
        <v>45679</v>
      </c>
      <c r="L11" s="79"/>
      <c r="M11" s="81">
        <v>12</v>
      </c>
      <c r="N11" s="61">
        <v>1440</v>
      </c>
      <c r="O11" s="31">
        <f>N11</f>
        <v>1440</v>
      </c>
      <c r="P11" s="29" t="s">
        <v>27</v>
      </c>
      <c r="Q11" s="26"/>
    </row>
    <row r="12" spans="1:17">
      <c r="A12" s="11">
        <v>8</v>
      </c>
      <c r="B12" s="12">
        <v>45680</v>
      </c>
      <c r="C12" s="15" t="s">
        <v>51</v>
      </c>
      <c r="D12" s="44" t="s">
        <v>30</v>
      </c>
      <c r="E12" s="44" t="s">
        <v>31</v>
      </c>
      <c r="F12" s="11" t="s">
        <v>21</v>
      </c>
      <c r="G12" s="19"/>
      <c r="H12" s="26" t="s">
        <v>52</v>
      </c>
      <c r="I12" s="11" t="s">
        <v>53</v>
      </c>
      <c r="J12" s="54" t="s">
        <v>25</v>
      </c>
      <c r="K12" s="76">
        <v>45689</v>
      </c>
      <c r="L12" s="79"/>
      <c r="M12" s="81">
        <v>12</v>
      </c>
      <c r="N12" s="82">
        <v>1200</v>
      </c>
      <c r="O12" s="29">
        <v>1200</v>
      </c>
      <c r="P12" s="29" t="s">
        <v>27</v>
      </c>
      <c r="Q12" s="26"/>
    </row>
    <row r="13" spans="1:17">
      <c r="A13" s="11">
        <v>9</v>
      </c>
      <c r="B13" s="12">
        <v>45715</v>
      </c>
      <c r="C13" s="15" t="s">
        <v>54</v>
      </c>
      <c r="D13" s="44" t="s">
        <v>30</v>
      </c>
      <c r="E13" s="44" t="s">
        <v>31</v>
      </c>
      <c r="F13" s="11" t="s">
        <v>21</v>
      </c>
      <c r="G13" s="19"/>
      <c r="H13" s="26"/>
      <c r="I13" s="11"/>
      <c r="J13" s="11"/>
      <c r="K13" s="11"/>
      <c r="L13" s="77"/>
      <c r="M13" s="81">
        <v>12</v>
      </c>
      <c r="N13" s="61">
        <v>128640</v>
      </c>
      <c r="O13" s="30">
        <v>128640</v>
      </c>
      <c r="P13" s="29" t="s">
        <v>27</v>
      </c>
      <c r="Q13" s="26"/>
    </row>
    <row r="14" spans="1:17">
      <c r="A14" s="11">
        <v>10</v>
      </c>
      <c r="B14" s="12">
        <v>45715</v>
      </c>
      <c r="C14" s="15" t="s">
        <v>55</v>
      </c>
      <c r="D14" s="44" t="s">
        <v>30</v>
      </c>
      <c r="E14" s="44" t="s">
        <v>31</v>
      </c>
      <c r="F14" s="71" t="s">
        <v>21</v>
      </c>
      <c r="G14" s="19"/>
      <c r="H14" s="26"/>
      <c r="I14" s="11"/>
      <c r="J14" s="11"/>
      <c r="K14" s="11"/>
      <c r="L14" s="77"/>
      <c r="M14" s="81">
        <v>12</v>
      </c>
      <c r="N14" s="61">
        <v>275880</v>
      </c>
      <c r="O14" s="30">
        <v>275880</v>
      </c>
      <c r="P14" s="29" t="s">
        <v>27</v>
      </c>
      <c r="Q14" s="26"/>
    </row>
    <row r="15" spans="1:17">
      <c r="A15" s="11">
        <v>11</v>
      </c>
      <c r="B15" s="12">
        <v>45736</v>
      </c>
      <c r="C15" s="13" t="s">
        <v>56</v>
      </c>
      <c r="D15" s="44" t="s">
        <v>30</v>
      </c>
      <c r="E15" s="44" t="s">
        <v>31</v>
      </c>
      <c r="F15" s="11" t="s">
        <v>21</v>
      </c>
      <c r="G15" s="19"/>
      <c r="H15" s="26"/>
      <c r="I15" s="11"/>
      <c r="J15" s="11"/>
      <c r="K15" s="11"/>
      <c r="L15" s="77"/>
      <c r="M15" s="81">
        <v>12</v>
      </c>
      <c r="N15" s="61">
        <v>102900</v>
      </c>
      <c r="O15" s="30">
        <f>N15</f>
        <v>102900</v>
      </c>
      <c r="P15" s="29" t="s">
        <v>27</v>
      </c>
      <c r="Q15" s="26"/>
    </row>
    <row r="16" spans="1:17">
      <c r="A16" s="11">
        <v>12</v>
      </c>
      <c r="B16" s="12">
        <v>45736</v>
      </c>
      <c r="C16" s="13" t="s">
        <v>57</v>
      </c>
      <c r="D16" s="43" t="s">
        <v>58</v>
      </c>
      <c r="E16" s="43" t="s">
        <v>59</v>
      </c>
      <c r="F16" s="54" t="s">
        <v>21</v>
      </c>
      <c r="G16" s="19"/>
      <c r="H16" s="26"/>
      <c r="I16" s="11"/>
      <c r="J16" s="11"/>
      <c r="K16" s="11"/>
      <c r="L16" s="77"/>
      <c r="M16" s="81"/>
      <c r="N16" s="61"/>
      <c r="O16" s="30"/>
      <c r="P16" s="30"/>
      <c r="Q16" s="26"/>
    </row>
    <row r="17" ht="14.5" customHeight="1" spans="1:17">
      <c r="A17" s="11">
        <v>13</v>
      </c>
      <c r="B17" s="12">
        <v>45551</v>
      </c>
      <c r="C17" s="13" t="s">
        <v>60</v>
      </c>
      <c r="D17" s="43" t="s">
        <v>19</v>
      </c>
      <c r="E17" s="43" t="s">
        <v>20</v>
      </c>
      <c r="F17" s="11" t="s">
        <v>21</v>
      </c>
      <c r="G17" s="16" t="s">
        <v>61</v>
      </c>
      <c r="H17" s="26" t="s">
        <v>62</v>
      </c>
      <c r="I17" s="11" t="s">
        <v>63</v>
      </c>
      <c r="J17" s="11" t="s">
        <v>39</v>
      </c>
      <c r="K17" s="11"/>
      <c r="L17" s="78" t="s">
        <v>26</v>
      </c>
      <c r="M17" s="81"/>
      <c r="N17" s="30">
        <v>169300</v>
      </c>
      <c r="O17" s="30">
        <f>N17*0.4</f>
        <v>67720</v>
      </c>
      <c r="P17" s="66" t="s">
        <v>64</v>
      </c>
      <c r="Q17" s="26" t="s">
        <v>65</v>
      </c>
    </row>
    <row r="18" ht="13" customHeight="1" spans="1:17">
      <c r="A18" s="11">
        <v>14</v>
      </c>
      <c r="B18" s="12">
        <v>45551</v>
      </c>
      <c r="C18" s="13" t="s">
        <v>66</v>
      </c>
      <c r="D18" s="43" t="s">
        <v>19</v>
      </c>
      <c r="E18" s="43" t="s">
        <v>20</v>
      </c>
      <c r="F18" s="11" t="s">
        <v>21</v>
      </c>
      <c r="G18" s="19"/>
      <c r="H18" s="26" t="s">
        <v>67</v>
      </c>
      <c r="I18" s="11" t="s">
        <v>68</v>
      </c>
      <c r="J18" s="11" t="s">
        <v>39</v>
      </c>
      <c r="K18" s="11"/>
      <c r="L18" s="78" t="s">
        <v>26</v>
      </c>
      <c r="M18" s="81"/>
      <c r="N18" s="30">
        <v>395692.4</v>
      </c>
      <c r="O18" s="30">
        <f>395692.4*0.4</f>
        <v>158276.96</v>
      </c>
      <c r="P18" s="66" t="s">
        <v>64</v>
      </c>
      <c r="Q18" s="26" t="s">
        <v>65</v>
      </c>
    </row>
    <row r="19" ht="13" customHeight="1" spans="1:17">
      <c r="A19" s="11">
        <v>15</v>
      </c>
      <c r="B19" s="12">
        <v>45551</v>
      </c>
      <c r="C19" s="13" t="s">
        <v>69</v>
      </c>
      <c r="D19" s="43" t="s">
        <v>19</v>
      </c>
      <c r="E19" s="43" t="s">
        <v>20</v>
      </c>
      <c r="F19" s="11" t="s">
        <v>21</v>
      </c>
      <c r="G19" s="19"/>
      <c r="H19" s="26" t="s">
        <v>70</v>
      </c>
      <c r="I19" s="11" t="s">
        <v>71</v>
      </c>
      <c r="J19" s="11" t="s">
        <v>39</v>
      </c>
      <c r="K19" s="11"/>
      <c r="L19" s="78" t="s">
        <v>26</v>
      </c>
      <c r="M19" s="81"/>
      <c r="N19" s="31">
        <v>51700</v>
      </c>
      <c r="O19" s="31">
        <v>51700</v>
      </c>
      <c r="P19" s="67" t="s">
        <v>64</v>
      </c>
      <c r="Q19" s="26" t="s">
        <v>72</v>
      </c>
    </row>
    <row r="20" spans="1:17">
      <c r="A20" s="11">
        <v>16</v>
      </c>
      <c r="B20" s="12">
        <v>45252</v>
      </c>
      <c r="C20" s="13" t="s">
        <v>73</v>
      </c>
      <c r="D20" s="43" t="s">
        <v>19</v>
      </c>
      <c r="E20" s="43" t="s">
        <v>74</v>
      </c>
      <c r="F20" s="11" t="s">
        <v>41</v>
      </c>
      <c r="G20" s="19"/>
      <c r="H20" s="26"/>
      <c r="I20" s="11"/>
      <c r="J20" s="11"/>
      <c r="K20" s="11"/>
      <c r="L20" s="11"/>
      <c r="M20" s="81"/>
      <c r="N20" s="29"/>
      <c r="O20" s="29"/>
      <c r="P20" s="29" t="s">
        <v>27</v>
      </c>
      <c r="Q20" s="26"/>
    </row>
    <row r="21" spans="1:17">
      <c r="A21" s="11">
        <v>17</v>
      </c>
      <c r="B21" s="12">
        <v>45252</v>
      </c>
      <c r="C21" s="13" t="s">
        <v>75</v>
      </c>
      <c r="D21" s="43" t="s">
        <v>19</v>
      </c>
      <c r="E21" s="43" t="s">
        <v>20</v>
      </c>
      <c r="F21" s="11" t="s">
        <v>21</v>
      </c>
      <c r="G21" s="19"/>
      <c r="H21" s="26" t="s">
        <v>76</v>
      </c>
      <c r="I21" s="11" t="s">
        <v>77</v>
      </c>
      <c r="J21" s="54" t="s">
        <v>25</v>
      </c>
      <c r="K21" s="76">
        <v>45728</v>
      </c>
      <c r="L21" s="78" t="s">
        <v>26</v>
      </c>
      <c r="M21" s="81"/>
      <c r="N21" s="29">
        <v>60010</v>
      </c>
      <c r="O21" s="29">
        <v>60010</v>
      </c>
      <c r="P21" s="29" t="s">
        <v>27</v>
      </c>
      <c r="Q21" s="26"/>
    </row>
    <row r="22" spans="1:17">
      <c r="A22" s="11">
        <v>18</v>
      </c>
      <c r="B22" s="12">
        <v>45610</v>
      </c>
      <c r="C22" s="13" t="s">
        <v>78</v>
      </c>
      <c r="D22" s="43" t="s">
        <v>19</v>
      </c>
      <c r="E22" s="43" t="s">
        <v>79</v>
      </c>
      <c r="F22" s="11" t="s">
        <v>41</v>
      </c>
      <c r="G22" s="19"/>
      <c r="H22" s="26"/>
      <c r="I22" s="11"/>
      <c r="J22" s="11"/>
      <c r="K22" s="11"/>
      <c r="L22" s="11"/>
      <c r="M22" s="81"/>
      <c r="N22" s="29"/>
      <c r="O22" s="29"/>
      <c r="P22" s="29" t="s">
        <v>27</v>
      </c>
      <c r="Q22" s="34"/>
    </row>
    <row r="23" s="41" customFormat="1" spans="1:17">
      <c r="A23" s="11">
        <v>19</v>
      </c>
      <c r="B23" s="48">
        <v>45593</v>
      </c>
      <c r="C23" s="49" t="s">
        <v>80</v>
      </c>
      <c r="D23" s="50" t="s">
        <v>19</v>
      </c>
      <c r="E23" s="50" t="s">
        <v>20</v>
      </c>
      <c r="F23" s="55" t="s">
        <v>21</v>
      </c>
      <c r="G23" s="19"/>
      <c r="H23" s="56" t="s">
        <v>81</v>
      </c>
      <c r="I23" s="62" t="s">
        <v>82</v>
      </c>
      <c r="J23" s="62" t="s">
        <v>25</v>
      </c>
      <c r="K23" s="60">
        <v>45680</v>
      </c>
      <c r="L23" s="78" t="s">
        <v>26</v>
      </c>
      <c r="M23" s="81"/>
      <c r="N23" s="63">
        <v>69328.34</v>
      </c>
      <c r="O23" s="63">
        <f>N23*0.4</f>
        <v>27731.336</v>
      </c>
      <c r="P23" s="68" t="s">
        <v>64</v>
      </c>
      <c r="Q23" s="59" t="s">
        <v>65</v>
      </c>
    </row>
    <row r="24" spans="1:17">
      <c r="A24" s="11">
        <v>20</v>
      </c>
      <c r="B24" s="12">
        <v>45664</v>
      </c>
      <c r="C24" s="13" t="s">
        <v>83</v>
      </c>
      <c r="D24" s="43" t="s">
        <v>19</v>
      </c>
      <c r="E24" s="43" t="s">
        <v>20</v>
      </c>
      <c r="F24" s="11" t="s">
        <v>41</v>
      </c>
      <c r="G24" s="19"/>
      <c r="H24" s="26"/>
      <c r="I24" s="11"/>
      <c r="J24" s="11"/>
      <c r="K24" s="11"/>
      <c r="L24" s="11"/>
      <c r="M24" s="81"/>
      <c r="N24" s="29"/>
      <c r="O24" s="29"/>
      <c r="P24" s="68" t="s">
        <v>64</v>
      </c>
      <c r="Q24" s="34"/>
    </row>
    <row r="25" spans="1:17">
      <c r="A25" s="11">
        <v>21</v>
      </c>
      <c r="B25" s="12">
        <v>45670</v>
      </c>
      <c r="C25" s="13" t="s">
        <v>84</v>
      </c>
      <c r="D25" s="43" t="s">
        <v>19</v>
      </c>
      <c r="E25" s="43" t="s">
        <v>20</v>
      </c>
      <c r="F25" s="11" t="s">
        <v>41</v>
      </c>
      <c r="G25" s="19"/>
      <c r="H25" s="26"/>
      <c r="I25" s="11"/>
      <c r="J25" s="11"/>
      <c r="K25" s="11"/>
      <c r="L25" s="11"/>
      <c r="M25" s="81"/>
      <c r="N25" s="29"/>
      <c r="O25" s="29"/>
      <c r="P25" s="68" t="s">
        <v>64</v>
      </c>
      <c r="Q25" s="34"/>
    </row>
    <row r="26" spans="1:17">
      <c r="A26" s="11">
        <v>22</v>
      </c>
      <c r="B26" s="12">
        <v>45671</v>
      </c>
      <c r="C26" s="13" t="s">
        <v>85</v>
      </c>
      <c r="D26" s="43" t="s">
        <v>19</v>
      </c>
      <c r="E26" s="43" t="s">
        <v>86</v>
      </c>
      <c r="F26" s="11" t="s">
        <v>21</v>
      </c>
      <c r="G26" s="19"/>
      <c r="H26" s="26" t="s">
        <v>87</v>
      </c>
      <c r="I26" s="62" t="s">
        <v>88</v>
      </c>
      <c r="J26" s="11" t="s">
        <v>39</v>
      </c>
      <c r="K26" s="11"/>
      <c r="L26" s="78" t="s">
        <v>26</v>
      </c>
      <c r="M26" s="81"/>
      <c r="N26" s="29">
        <v>522979</v>
      </c>
      <c r="O26" s="29">
        <v>522979</v>
      </c>
      <c r="P26" s="29" t="s">
        <v>27</v>
      </c>
      <c r="Q26" s="34"/>
    </row>
    <row r="27" spans="1:17">
      <c r="A27" s="11">
        <v>23</v>
      </c>
      <c r="B27" s="12">
        <v>45695</v>
      </c>
      <c r="C27" s="13" t="s">
        <v>89</v>
      </c>
      <c r="D27" s="43" t="s">
        <v>19</v>
      </c>
      <c r="E27" s="43" t="s">
        <v>74</v>
      </c>
      <c r="F27" s="11" t="s">
        <v>41</v>
      </c>
      <c r="G27" s="19"/>
      <c r="H27" s="26"/>
      <c r="I27" s="11"/>
      <c r="J27" s="11"/>
      <c r="K27" s="11"/>
      <c r="L27" s="11"/>
      <c r="M27" s="81"/>
      <c r="N27" s="29"/>
      <c r="O27" s="29"/>
      <c r="P27" s="29" t="s">
        <v>27</v>
      </c>
      <c r="Q27" s="34"/>
    </row>
    <row r="28" spans="1:17">
      <c r="A28" s="11">
        <v>24</v>
      </c>
      <c r="B28" s="12">
        <v>45708</v>
      </c>
      <c r="C28" s="13" t="s">
        <v>90</v>
      </c>
      <c r="D28" s="43" t="s">
        <v>19</v>
      </c>
      <c r="E28" s="43" t="s">
        <v>91</v>
      </c>
      <c r="F28" s="11" t="s">
        <v>41</v>
      </c>
      <c r="G28" s="19"/>
      <c r="H28" s="26"/>
      <c r="I28" s="11"/>
      <c r="J28" s="11"/>
      <c r="K28" s="11"/>
      <c r="L28" s="11"/>
      <c r="M28" s="81"/>
      <c r="N28" s="29"/>
      <c r="O28" s="29"/>
      <c r="P28" s="29" t="s">
        <v>27</v>
      </c>
      <c r="Q28" s="34"/>
    </row>
    <row r="29" spans="1:17">
      <c r="A29" s="11">
        <v>25</v>
      </c>
      <c r="B29" s="12">
        <v>45714</v>
      </c>
      <c r="C29" s="13" t="s">
        <v>92</v>
      </c>
      <c r="D29" s="43" t="s">
        <v>19</v>
      </c>
      <c r="E29" s="43" t="s">
        <v>20</v>
      </c>
      <c r="F29" s="11" t="s">
        <v>41</v>
      </c>
      <c r="G29" s="19"/>
      <c r="H29" s="26"/>
      <c r="I29" s="11"/>
      <c r="J29" s="11"/>
      <c r="K29" s="11"/>
      <c r="L29" s="11"/>
      <c r="M29" s="81"/>
      <c r="N29" s="29"/>
      <c r="O29" s="29"/>
      <c r="P29" s="29" t="s">
        <v>27</v>
      </c>
      <c r="Q29" s="34"/>
    </row>
    <row r="30" spans="1:17">
      <c r="A30" s="11">
        <v>26</v>
      </c>
      <c r="B30" s="12">
        <v>45718</v>
      </c>
      <c r="C30" s="13" t="s">
        <v>93</v>
      </c>
      <c r="D30" s="43" t="s">
        <v>19</v>
      </c>
      <c r="E30" s="43" t="s">
        <v>20</v>
      </c>
      <c r="F30" s="11" t="s">
        <v>41</v>
      </c>
      <c r="G30" s="19"/>
      <c r="H30" s="26"/>
      <c r="I30" s="11"/>
      <c r="J30" s="11"/>
      <c r="K30" s="11"/>
      <c r="L30" s="11"/>
      <c r="M30" s="81"/>
      <c r="N30" s="29"/>
      <c r="O30" s="29"/>
      <c r="P30" s="29" t="s">
        <v>27</v>
      </c>
      <c r="Q30" s="34"/>
    </row>
    <row r="31" spans="1:17">
      <c r="A31" s="11">
        <v>27</v>
      </c>
      <c r="B31" s="12">
        <v>45722</v>
      </c>
      <c r="C31" s="13" t="s">
        <v>94</v>
      </c>
      <c r="D31" s="43" t="s">
        <v>19</v>
      </c>
      <c r="E31" s="43" t="s">
        <v>74</v>
      </c>
      <c r="F31" s="11" t="s">
        <v>41</v>
      </c>
      <c r="G31" s="19"/>
      <c r="H31" s="26"/>
      <c r="I31" s="11"/>
      <c r="J31" s="11"/>
      <c r="K31" s="11"/>
      <c r="L31" s="11"/>
      <c r="M31" s="81"/>
      <c r="N31" s="29"/>
      <c r="O31" s="29"/>
      <c r="P31" s="83" t="s">
        <v>64</v>
      </c>
      <c r="Q31" s="34"/>
    </row>
    <row r="32" ht="12.5" customHeight="1" spans="1:17">
      <c r="A32" s="11">
        <v>28</v>
      </c>
      <c r="B32" s="12">
        <v>45573</v>
      </c>
      <c r="C32" s="13" t="s">
        <v>95</v>
      </c>
      <c r="D32" s="43" t="s">
        <v>19</v>
      </c>
      <c r="E32" s="43" t="s">
        <v>20</v>
      </c>
      <c r="F32" s="72" t="s">
        <v>96</v>
      </c>
      <c r="G32" s="73" t="s">
        <v>97</v>
      </c>
      <c r="H32" s="74"/>
      <c r="I32" s="64"/>
      <c r="J32" s="64"/>
      <c r="K32" s="57"/>
      <c r="L32" s="57"/>
      <c r="M32" s="81"/>
      <c r="N32" s="65"/>
      <c r="O32" s="65"/>
      <c r="P32" s="68" t="s">
        <v>64</v>
      </c>
      <c r="Q32" s="59" t="s">
        <v>98</v>
      </c>
    </row>
    <row r="33" s="42" customFormat="1" ht="12.5" customHeight="1" spans="1:17">
      <c r="A33" s="11">
        <v>29</v>
      </c>
      <c r="B33" s="51">
        <v>45463</v>
      </c>
      <c r="C33" s="52" t="s">
        <v>99</v>
      </c>
      <c r="D33" s="53" t="s">
        <v>19</v>
      </c>
      <c r="E33" s="53" t="s">
        <v>20</v>
      </c>
      <c r="F33" s="84" t="s">
        <v>21</v>
      </c>
      <c r="G33" s="85"/>
      <c r="H33" s="74" t="s">
        <v>100</v>
      </c>
      <c r="I33" s="64" t="s">
        <v>101</v>
      </c>
      <c r="J33" s="64" t="s">
        <v>102</v>
      </c>
      <c r="K33" s="57"/>
      <c r="L33" s="78" t="s">
        <v>26</v>
      </c>
      <c r="M33" s="81"/>
      <c r="N33" s="65">
        <v>123908.39</v>
      </c>
      <c r="O33" s="65">
        <f>N33*0.5</f>
        <v>61954.195</v>
      </c>
      <c r="P33" s="68" t="s">
        <v>64</v>
      </c>
      <c r="Q33" s="59" t="s">
        <v>98</v>
      </c>
    </row>
    <row r="34" ht="12.5" customHeight="1" spans="1:17">
      <c r="A34" s="11">
        <v>30</v>
      </c>
      <c r="B34" s="12">
        <v>45579</v>
      </c>
      <c r="C34" s="13" t="s">
        <v>103</v>
      </c>
      <c r="D34" s="43" t="s">
        <v>19</v>
      </c>
      <c r="E34" s="43" t="s">
        <v>20</v>
      </c>
      <c r="F34" s="86" t="s">
        <v>21</v>
      </c>
      <c r="G34" s="87"/>
      <c r="H34" s="88" t="s">
        <v>104</v>
      </c>
      <c r="I34" s="54" t="s">
        <v>105</v>
      </c>
      <c r="J34" s="54" t="s">
        <v>106</v>
      </c>
      <c r="K34" s="11"/>
      <c r="L34" s="78" t="s">
        <v>26</v>
      </c>
      <c r="M34" s="81"/>
      <c r="N34" s="29">
        <v>35390.83</v>
      </c>
      <c r="O34" s="29">
        <f>N34</f>
        <v>35390.83</v>
      </c>
      <c r="P34" s="29" t="s">
        <v>27</v>
      </c>
      <c r="Q34" s="26"/>
    </row>
    <row r="35" ht="12.5" customHeight="1" spans="1:17">
      <c r="A35" s="11">
        <v>31</v>
      </c>
      <c r="B35" s="12">
        <v>45579</v>
      </c>
      <c r="C35" s="13" t="s">
        <v>107</v>
      </c>
      <c r="D35" s="43" t="s">
        <v>19</v>
      </c>
      <c r="E35" s="43" t="s">
        <v>20</v>
      </c>
      <c r="F35" s="86" t="s">
        <v>21</v>
      </c>
      <c r="G35" s="87"/>
      <c r="H35" s="88" t="s">
        <v>108</v>
      </c>
      <c r="I35" s="11"/>
      <c r="J35" s="11"/>
      <c r="K35" s="11"/>
      <c r="L35" s="78" t="s">
        <v>26</v>
      </c>
      <c r="M35" s="81"/>
      <c r="N35" s="29">
        <v>18112</v>
      </c>
      <c r="O35" s="29">
        <f>N35</f>
        <v>18112</v>
      </c>
      <c r="P35" s="29" t="s">
        <v>27</v>
      </c>
      <c r="Q35" s="26"/>
    </row>
    <row r="36" ht="12.5" customHeight="1" spans="1:17">
      <c r="A36" s="11">
        <v>32</v>
      </c>
      <c r="B36" s="12">
        <v>45615</v>
      </c>
      <c r="C36" s="13" t="s">
        <v>109</v>
      </c>
      <c r="D36" s="43" t="s">
        <v>19</v>
      </c>
      <c r="E36" s="43" t="s">
        <v>20</v>
      </c>
      <c r="F36" s="72" t="s">
        <v>21</v>
      </c>
      <c r="G36" s="87"/>
      <c r="H36" s="88" t="s">
        <v>110</v>
      </c>
      <c r="I36" s="64" t="s">
        <v>111</v>
      </c>
      <c r="J36" s="54" t="s">
        <v>39</v>
      </c>
      <c r="K36" s="11"/>
      <c r="L36" s="78" t="s">
        <v>26</v>
      </c>
      <c r="M36" s="81"/>
      <c r="N36" s="29">
        <v>32300</v>
      </c>
      <c r="O36" s="29">
        <f>N36*0.5</f>
        <v>16150</v>
      </c>
      <c r="P36" s="68" t="s">
        <v>64</v>
      </c>
      <c r="Q36" s="26" t="s">
        <v>98</v>
      </c>
    </row>
    <row r="37" ht="12.5" customHeight="1" spans="1:17">
      <c r="A37" s="11">
        <v>33</v>
      </c>
      <c r="B37" s="12">
        <v>45611</v>
      </c>
      <c r="C37" s="13" t="s">
        <v>112</v>
      </c>
      <c r="D37" s="43" t="s">
        <v>19</v>
      </c>
      <c r="E37" s="43" t="s">
        <v>20</v>
      </c>
      <c r="F37" s="86" t="s">
        <v>41</v>
      </c>
      <c r="G37" s="87"/>
      <c r="H37" s="88"/>
      <c r="I37" s="11"/>
      <c r="J37" s="11"/>
      <c r="K37" s="11"/>
      <c r="L37" s="11"/>
      <c r="M37" s="81"/>
      <c r="N37" s="29"/>
      <c r="O37" s="29"/>
      <c r="P37" s="29" t="s">
        <v>27</v>
      </c>
      <c r="Q37" s="26"/>
    </row>
    <row r="38" ht="12.5" customHeight="1" spans="1:17">
      <c r="A38" s="11">
        <v>34</v>
      </c>
      <c r="B38" s="12">
        <v>45670</v>
      </c>
      <c r="C38" s="13" t="s">
        <v>113</v>
      </c>
      <c r="D38" s="43" t="s">
        <v>19</v>
      </c>
      <c r="E38" s="43" t="s">
        <v>20</v>
      </c>
      <c r="F38" s="86" t="s">
        <v>21</v>
      </c>
      <c r="G38" s="87"/>
      <c r="H38" s="88" t="s">
        <v>114</v>
      </c>
      <c r="I38" s="11" t="s">
        <v>115</v>
      </c>
      <c r="J38" s="54" t="s">
        <v>25</v>
      </c>
      <c r="K38" s="54" t="s">
        <v>116</v>
      </c>
      <c r="L38" s="54"/>
      <c r="M38" s="81"/>
      <c r="N38" s="29">
        <v>4893</v>
      </c>
      <c r="O38" s="29">
        <v>4893</v>
      </c>
      <c r="P38" s="29" t="s">
        <v>27</v>
      </c>
      <c r="Q38" s="26"/>
    </row>
    <row r="39" ht="12.5" customHeight="1" spans="1:17">
      <c r="A39" s="11">
        <v>35</v>
      </c>
      <c r="B39" s="12">
        <v>45701</v>
      </c>
      <c r="C39" s="13" t="s">
        <v>117</v>
      </c>
      <c r="D39" s="43" t="s">
        <v>19</v>
      </c>
      <c r="E39" s="43" t="s">
        <v>20</v>
      </c>
      <c r="F39" s="72" t="s">
        <v>41</v>
      </c>
      <c r="G39" s="87"/>
      <c r="H39" s="88"/>
      <c r="I39" s="11"/>
      <c r="J39" s="11"/>
      <c r="K39" s="11"/>
      <c r="L39" s="11"/>
      <c r="M39" s="81"/>
      <c r="N39" s="29"/>
      <c r="O39" s="29"/>
      <c r="P39" s="29" t="s">
        <v>27</v>
      </c>
      <c r="Q39" s="26"/>
    </row>
    <row r="40" ht="12.5" customHeight="1" spans="1:17">
      <c r="A40" s="11">
        <v>36</v>
      </c>
      <c r="B40" s="12">
        <v>45708</v>
      </c>
      <c r="C40" s="13" t="s">
        <v>118</v>
      </c>
      <c r="D40" s="43" t="s">
        <v>19</v>
      </c>
      <c r="E40" s="43" t="s">
        <v>119</v>
      </c>
      <c r="F40" s="72" t="s">
        <v>41</v>
      </c>
      <c r="G40" s="87"/>
      <c r="H40" s="88"/>
      <c r="I40" s="11"/>
      <c r="J40" s="11"/>
      <c r="K40" s="11"/>
      <c r="L40" s="11"/>
      <c r="M40" s="81"/>
      <c r="N40" s="29"/>
      <c r="O40" s="29"/>
      <c r="P40" s="29" t="s">
        <v>27</v>
      </c>
      <c r="Q40" s="26"/>
    </row>
    <row r="41" ht="12.5" customHeight="1" spans="1:17">
      <c r="A41" s="11">
        <v>37</v>
      </c>
      <c r="B41" s="12">
        <v>45711</v>
      </c>
      <c r="C41" s="13" t="s">
        <v>120</v>
      </c>
      <c r="D41" s="43" t="s">
        <v>19</v>
      </c>
      <c r="E41" s="43" t="s">
        <v>20</v>
      </c>
      <c r="F41" s="72" t="s">
        <v>41</v>
      </c>
      <c r="G41" s="87"/>
      <c r="H41" s="88"/>
      <c r="I41" s="11"/>
      <c r="J41" s="11"/>
      <c r="K41" s="11"/>
      <c r="L41" s="11"/>
      <c r="M41" s="81"/>
      <c r="N41" s="29"/>
      <c r="O41" s="29"/>
      <c r="P41" s="29" t="s">
        <v>27</v>
      </c>
      <c r="Q41" s="26"/>
    </row>
    <row r="42" ht="12.5" customHeight="1" spans="1:17">
      <c r="A42" s="11">
        <v>38</v>
      </c>
      <c r="B42" s="12">
        <v>45727</v>
      </c>
      <c r="C42" s="13" t="s">
        <v>121</v>
      </c>
      <c r="D42" s="43" t="s">
        <v>19</v>
      </c>
      <c r="E42" s="43" t="s">
        <v>20</v>
      </c>
      <c r="F42" s="72" t="s">
        <v>41</v>
      </c>
      <c r="G42" s="87"/>
      <c r="H42" s="88"/>
      <c r="I42" s="11"/>
      <c r="J42" s="11"/>
      <c r="K42" s="11"/>
      <c r="L42" s="11"/>
      <c r="M42" s="81"/>
      <c r="N42" s="29"/>
      <c r="O42" s="29"/>
      <c r="P42" s="29"/>
      <c r="Q42" s="26"/>
    </row>
    <row r="43" ht="12.5" customHeight="1" spans="1:17">
      <c r="A43" s="11">
        <v>39</v>
      </c>
      <c r="B43" s="12">
        <v>45730</v>
      </c>
      <c r="C43" s="13" t="s">
        <v>122</v>
      </c>
      <c r="D43" s="43" t="s">
        <v>19</v>
      </c>
      <c r="E43" s="43" t="s">
        <v>74</v>
      </c>
      <c r="F43" s="72" t="s">
        <v>123</v>
      </c>
      <c r="G43" s="89"/>
      <c r="H43" s="88"/>
      <c r="I43" s="11"/>
      <c r="J43" s="11"/>
      <c r="K43" s="11"/>
      <c r="L43" s="11"/>
      <c r="M43" s="81"/>
      <c r="N43" s="29"/>
      <c r="O43" s="29"/>
      <c r="P43" s="29"/>
      <c r="Q43" s="26"/>
    </row>
    <row r="44" spans="1:17">
      <c r="A44" s="11">
        <v>40</v>
      </c>
      <c r="B44" s="12">
        <v>45568</v>
      </c>
      <c r="C44" s="13" t="s">
        <v>124</v>
      </c>
      <c r="D44" s="43" t="s">
        <v>19</v>
      </c>
      <c r="E44" s="43" t="s">
        <v>20</v>
      </c>
      <c r="F44" s="11" t="s">
        <v>21</v>
      </c>
      <c r="G44" s="19" t="s">
        <v>125</v>
      </c>
      <c r="H44" s="26" t="s">
        <v>126</v>
      </c>
      <c r="I44" s="11" t="s">
        <v>127</v>
      </c>
      <c r="J44" s="11" t="s">
        <v>106</v>
      </c>
      <c r="K44" s="11"/>
      <c r="L44" s="11"/>
      <c r="M44" s="81">
        <v>60</v>
      </c>
      <c r="N44" s="29">
        <v>565636.2</v>
      </c>
      <c r="O44" s="29">
        <v>565636.2</v>
      </c>
      <c r="P44" s="29" t="s">
        <v>27</v>
      </c>
      <c r="Q44" s="26"/>
    </row>
    <row r="45" spans="1:17">
      <c r="A45" s="11">
        <v>41</v>
      </c>
      <c r="B45" s="12">
        <v>45568</v>
      </c>
      <c r="C45" s="13" t="s">
        <v>128</v>
      </c>
      <c r="D45" s="43" t="s">
        <v>19</v>
      </c>
      <c r="E45" s="43" t="s">
        <v>20</v>
      </c>
      <c r="F45" s="11" t="s">
        <v>21</v>
      </c>
      <c r="G45" s="19"/>
      <c r="H45" s="26" t="s">
        <v>129</v>
      </c>
      <c r="I45" s="11" t="s">
        <v>130</v>
      </c>
      <c r="J45" s="11" t="s">
        <v>106</v>
      </c>
      <c r="K45" s="11"/>
      <c r="L45" s="54" t="s">
        <v>131</v>
      </c>
      <c r="M45" s="81"/>
      <c r="N45" s="29">
        <v>187244.18</v>
      </c>
      <c r="O45" s="29">
        <v>187244.18</v>
      </c>
      <c r="P45" s="29" t="s">
        <v>27</v>
      </c>
      <c r="Q45" s="26"/>
    </row>
    <row r="46" spans="1:17">
      <c r="A46" s="11">
        <v>42</v>
      </c>
      <c r="B46" s="12">
        <v>45568</v>
      </c>
      <c r="C46" s="13" t="s">
        <v>132</v>
      </c>
      <c r="D46" s="43" t="s">
        <v>19</v>
      </c>
      <c r="E46" s="43" t="s">
        <v>20</v>
      </c>
      <c r="F46" s="11" t="s">
        <v>21</v>
      </c>
      <c r="G46" s="19"/>
      <c r="H46" s="26" t="s">
        <v>133</v>
      </c>
      <c r="I46" s="11"/>
      <c r="J46" s="11" t="s">
        <v>33</v>
      </c>
      <c r="K46" s="11"/>
      <c r="L46" s="11"/>
      <c r="M46" s="81">
        <v>60</v>
      </c>
      <c r="N46" s="29">
        <v>997529.4</v>
      </c>
      <c r="O46" s="29">
        <v>997529.4</v>
      </c>
      <c r="P46" s="29" t="s">
        <v>27</v>
      </c>
      <c r="Q46" s="26"/>
    </row>
    <row r="47" spans="1:17">
      <c r="A47" s="11">
        <v>43</v>
      </c>
      <c r="B47" s="12">
        <v>45568</v>
      </c>
      <c r="C47" s="13" t="s">
        <v>134</v>
      </c>
      <c r="D47" s="43" t="s">
        <v>19</v>
      </c>
      <c r="E47" s="43" t="s">
        <v>20</v>
      </c>
      <c r="F47" s="11" t="s">
        <v>21</v>
      </c>
      <c r="G47" s="22"/>
      <c r="H47" s="26" t="s">
        <v>135</v>
      </c>
      <c r="I47" s="11"/>
      <c r="J47" s="71" t="s">
        <v>136</v>
      </c>
      <c r="K47" s="11"/>
      <c r="L47" s="54" t="s">
        <v>131</v>
      </c>
      <c r="M47" s="81"/>
      <c r="N47" s="29">
        <v>443853.15</v>
      </c>
      <c r="O47" s="29">
        <v>443853.15</v>
      </c>
      <c r="P47" s="29" t="s">
        <v>27</v>
      </c>
      <c r="Q47" s="26"/>
    </row>
    <row r="48" ht="14.5" customHeight="1" spans="1:17">
      <c r="A48" s="11">
        <v>44</v>
      </c>
      <c r="B48" s="12">
        <v>45544</v>
      </c>
      <c r="C48" s="13" t="s">
        <v>137</v>
      </c>
      <c r="D48" s="43" t="s">
        <v>19</v>
      </c>
      <c r="E48" s="43" t="s">
        <v>20</v>
      </c>
      <c r="F48" s="11" t="s">
        <v>138</v>
      </c>
      <c r="G48" s="16" t="s">
        <v>139</v>
      </c>
      <c r="H48" s="26"/>
      <c r="I48" s="11"/>
      <c r="J48" s="11"/>
      <c r="K48" s="11"/>
      <c r="L48" s="11"/>
      <c r="M48" s="81"/>
      <c r="N48" s="29"/>
      <c r="O48" s="29"/>
      <c r="P48" s="29" t="s">
        <v>27</v>
      </c>
      <c r="Q48" s="26"/>
    </row>
    <row r="49" spans="1:17">
      <c r="A49" s="11">
        <v>45</v>
      </c>
      <c r="B49" s="12">
        <v>45576</v>
      </c>
      <c r="C49" s="13" t="s">
        <v>140</v>
      </c>
      <c r="D49" s="43" t="s">
        <v>19</v>
      </c>
      <c r="E49" s="43" t="s">
        <v>20</v>
      </c>
      <c r="F49" s="11" t="s">
        <v>21</v>
      </c>
      <c r="G49" s="19"/>
      <c r="H49" s="26" t="s">
        <v>141</v>
      </c>
      <c r="I49" s="11" t="s">
        <v>142</v>
      </c>
      <c r="J49" s="54" t="s">
        <v>25</v>
      </c>
      <c r="K49" s="54" t="s">
        <v>143</v>
      </c>
      <c r="L49" s="78" t="s">
        <v>26</v>
      </c>
      <c r="M49" s="81"/>
      <c r="N49" s="29">
        <v>115425</v>
      </c>
      <c r="O49" s="29">
        <v>115425</v>
      </c>
      <c r="P49" s="29" t="s">
        <v>27</v>
      </c>
      <c r="Q49" s="26"/>
    </row>
    <row r="50" spans="1:17">
      <c r="A50" s="11">
        <v>46</v>
      </c>
      <c r="B50" s="12">
        <v>45576</v>
      </c>
      <c r="C50" s="13" t="s">
        <v>144</v>
      </c>
      <c r="D50" s="43" t="s">
        <v>19</v>
      </c>
      <c r="E50" s="43" t="s">
        <v>79</v>
      </c>
      <c r="F50" s="11" t="s">
        <v>21</v>
      </c>
      <c r="G50" s="19"/>
      <c r="H50" s="26" t="s">
        <v>145</v>
      </c>
      <c r="I50" s="11" t="s">
        <v>146</v>
      </c>
      <c r="J50" s="11" t="s">
        <v>106</v>
      </c>
      <c r="K50" s="11"/>
      <c r="L50" s="78" t="s">
        <v>26</v>
      </c>
      <c r="M50" s="81"/>
      <c r="N50" s="29">
        <v>420300</v>
      </c>
      <c r="O50" s="29">
        <v>420300</v>
      </c>
      <c r="P50" s="29" t="s">
        <v>27</v>
      </c>
      <c r="Q50" s="26"/>
    </row>
    <row r="51" spans="1:18">
      <c r="A51" s="11">
        <v>47</v>
      </c>
      <c r="B51" s="12">
        <v>45576</v>
      </c>
      <c r="C51" s="13" t="s">
        <v>147</v>
      </c>
      <c r="D51" s="43" t="s">
        <v>19</v>
      </c>
      <c r="E51" s="43" t="s">
        <v>20</v>
      </c>
      <c r="F51" s="11" t="s">
        <v>41</v>
      </c>
      <c r="G51" s="19"/>
      <c r="H51" s="26"/>
      <c r="I51" s="11"/>
      <c r="J51" s="11"/>
      <c r="K51" s="11"/>
      <c r="L51" s="11"/>
      <c r="M51" s="81"/>
      <c r="N51" s="29"/>
      <c r="O51" s="29"/>
      <c r="P51" s="29" t="s">
        <v>27</v>
      </c>
      <c r="Q51" s="26"/>
      <c r="R51" s="36"/>
    </row>
    <row r="52" spans="1:17">
      <c r="A52" s="11">
        <v>48</v>
      </c>
      <c r="B52" s="12">
        <v>45594</v>
      </c>
      <c r="C52" s="13" t="s">
        <v>148</v>
      </c>
      <c r="D52" s="43" t="s">
        <v>19</v>
      </c>
      <c r="E52" s="43" t="s">
        <v>79</v>
      </c>
      <c r="F52" s="11" t="s">
        <v>21</v>
      </c>
      <c r="G52" s="19"/>
      <c r="H52" s="26" t="s">
        <v>149</v>
      </c>
      <c r="I52" s="11" t="s">
        <v>150</v>
      </c>
      <c r="J52" s="11" t="s">
        <v>106</v>
      </c>
      <c r="K52" s="11"/>
      <c r="L52" s="78" t="s">
        <v>26</v>
      </c>
      <c r="M52" s="81"/>
      <c r="N52" s="29">
        <v>101650</v>
      </c>
      <c r="O52" s="29">
        <v>101650</v>
      </c>
      <c r="P52" s="29" t="s">
        <v>27</v>
      </c>
      <c r="Q52" s="26"/>
    </row>
    <row r="53" spans="1:17">
      <c r="A53" s="11">
        <v>49</v>
      </c>
      <c r="B53" s="12">
        <v>45601</v>
      </c>
      <c r="C53" s="13" t="s">
        <v>151</v>
      </c>
      <c r="D53" s="43" t="s">
        <v>19</v>
      </c>
      <c r="E53" s="43" t="s">
        <v>79</v>
      </c>
      <c r="F53" s="11" t="s">
        <v>21</v>
      </c>
      <c r="G53" s="19"/>
      <c r="H53" s="26" t="s">
        <v>152</v>
      </c>
      <c r="I53" s="11" t="s">
        <v>153</v>
      </c>
      <c r="J53" s="54" t="s">
        <v>25</v>
      </c>
      <c r="K53" s="54" t="s">
        <v>143</v>
      </c>
      <c r="L53" s="78" t="s">
        <v>26</v>
      </c>
      <c r="M53" s="81"/>
      <c r="N53" s="29">
        <v>36293</v>
      </c>
      <c r="O53" s="29">
        <v>36293</v>
      </c>
      <c r="P53" s="29" t="s">
        <v>27</v>
      </c>
      <c r="Q53" s="26"/>
    </row>
    <row r="54" spans="1:17">
      <c r="A54" s="11">
        <v>50</v>
      </c>
      <c r="B54" s="12">
        <v>45602</v>
      </c>
      <c r="C54" s="13" t="s">
        <v>154</v>
      </c>
      <c r="D54" s="43" t="s">
        <v>19</v>
      </c>
      <c r="E54" s="43" t="s">
        <v>20</v>
      </c>
      <c r="F54" s="11" t="s">
        <v>21</v>
      </c>
      <c r="G54" s="19"/>
      <c r="H54" s="26" t="s">
        <v>155</v>
      </c>
      <c r="I54" s="11" t="s">
        <v>156</v>
      </c>
      <c r="J54" s="11" t="s">
        <v>106</v>
      </c>
      <c r="K54" s="11"/>
      <c r="L54" s="78" t="s">
        <v>26</v>
      </c>
      <c r="M54" s="81"/>
      <c r="N54" s="29">
        <v>47120</v>
      </c>
      <c r="O54" s="29">
        <v>47120</v>
      </c>
      <c r="P54" s="29" t="s">
        <v>27</v>
      </c>
      <c r="Q54" s="26"/>
    </row>
    <row r="55" spans="1:17">
      <c r="A55" s="11">
        <v>51</v>
      </c>
      <c r="B55" s="12">
        <v>45645</v>
      </c>
      <c r="C55" s="13" t="s">
        <v>157</v>
      </c>
      <c r="D55" s="43" t="s">
        <v>19</v>
      </c>
      <c r="E55" s="43" t="s">
        <v>20</v>
      </c>
      <c r="F55" s="11" t="s">
        <v>41</v>
      </c>
      <c r="G55" s="19"/>
      <c r="H55" s="26"/>
      <c r="I55" s="11"/>
      <c r="J55" s="11"/>
      <c r="K55" s="11"/>
      <c r="L55" s="11"/>
      <c r="M55" s="81"/>
      <c r="N55" s="29"/>
      <c r="O55" s="29"/>
      <c r="P55" s="29" t="s">
        <v>27</v>
      </c>
      <c r="Q55" s="26"/>
    </row>
    <row r="56" ht="13" customHeight="1" spans="1:17">
      <c r="A56" s="11">
        <v>52</v>
      </c>
      <c r="B56" s="12">
        <v>45646</v>
      </c>
      <c r="C56" s="13" t="s">
        <v>158</v>
      </c>
      <c r="D56" s="43" t="s">
        <v>19</v>
      </c>
      <c r="E56" s="43" t="s">
        <v>86</v>
      </c>
      <c r="F56" s="11" t="s">
        <v>21</v>
      </c>
      <c r="G56" s="19"/>
      <c r="H56" s="26" t="s">
        <v>159</v>
      </c>
      <c r="I56" s="11" t="s">
        <v>160</v>
      </c>
      <c r="J56" s="54" t="s">
        <v>106</v>
      </c>
      <c r="K56" s="11"/>
      <c r="L56" s="78" t="s">
        <v>26</v>
      </c>
      <c r="M56" s="81"/>
      <c r="N56" s="35">
        <v>2788150</v>
      </c>
      <c r="O56" s="29">
        <f>2788150/7*0.8</f>
        <v>318645.714285714</v>
      </c>
      <c r="P56" s="68" t="s">
        <v>161</v>
      </c>
      <c r="Q56" s="26" t="s">
        <v>162</v>
      </c>
    </row>
    <row r="57" ht="13" customHeight="1" spans="1:17">
      <c r="A57" s="11">
        <v>53</v>
      </c>
      <c r="B57" s="12">
        <v>45698</v>
      </c>
      <c r="C57" s="13" t="s">
        <v>163</v>
      </c>
      <c r="D57" s="43" t="s">
        <v>19</v>
      </c>
      <c r="E57" s="43" t="s">
        <v>86</v>
      </c>
      <c r="F57" s="11" t="s">
        <v>41</v>
      </c>
      <c r="G57" s="19"/>
      <c r="H57" s="26"/>
      <c r="I57" s="11"/>
      <c r="J57" s="11"/>
      <c r="K57" s="11"/>
      <c r="L57" s="11"/>
      <c r="M57" s="81"/>
      <c r="N57" s="35"/>
      <c r="O57" s="29"/>
      <c r="P57" s="29" t="s">
        <v>27</v>
      </c>
      <c r="Q57" s="26"/>
    </row>
    <row r="58" ht="13" customHeight="1" spans="1:17">
      <c r="A58" s="11">
        <v>54</v>
      </c>
      <c r="B58" s="12">
        <v>45698</v>
      </c>
      <c r="C58" s="13" t="s">
        <v>164</v>
      </c>
      <c r="D58" s="43" t="s">
        <v>19</v>
      </c>
      <c r="E58" s="43" t="s">
        <v>86</v>
      </c>
      <c r="F58" s="11" t="s">
        <v>41</v>
      </c>
      <c r="G58" s="19"/>
      <c r="H58" s="26"/>
      <c r="I58" s="11"/>
      <c r="J58" s="11"/>
      <c r="K58" s="11"/>
      <c r="L58" s="11"/>
      <c r="M58" s="81"/>
      <c r="N58" s="35"/>
      <c r="O58" s="29"/>
      <c r="P58" s="29" t="s">
        <v>27</v>
      </c>
      <c r="Q58" s="26"/>
    </row>
    <row r="59" ht="13" customHeight="1" spans="1:17">
      <c r="A59" s="11">
        <v>55</v>
      </c>
      <c r="B59" s="12">
        <v>45698</v>
      </c>
      <c r="C59" s="13" t="s">
        <v>165</v>
      </c>
      <c r="D59" s="43" t="s">
        <v>19</v>
      </c>
      <c r="E59" s="43" t="s">
        <v>86</v>
      </c>
      <c r="F59" s="11" t="s">
        <v>41</v>
      </c>
      <c r="G59" s="19"/>
      <c r="H59" s="26"/>
      <c r="I59" s="11"/>
      <c r="J59" s="11"/>
      <c r="K59" s="11"/>
      <c r="L59" s="11"/>
      <c r="M59" s="81"/>
      <c r="N59" s="35"/>
      <c r="O59" s="29"/>
      <c r="P59" s="29" t="s">
        <v>27</v>
      </c>
      <c r="Q59" s="26"/>
    </row>
    <row r="60" ht="13" customHeight="1" spans="1:17">
      <c r="A60" s="11">
        <v>56</v>
      </c>
      <c r="B60" s="12">
        <v>45698</v>
      </c>
      <c r="C60" s="13" t="s">
        <v>166</v>
      </c>
      <c r="D60" s="43" t="s">
        <v>19</v>
      </c>
      <c r="E60" s="43" t="s">
        <v>86</v>
      </c>
      <c r="F60" s="54" t="s">
        <v>21</v>
      </c>
      <c r="G60" s="19"/>
      <c r="H60" s="26" t="s">
        <v>167</v>
      </c>
      <c r="I60" s="11"/>
      <c r="J60" s="54" t="s">
        <v>136</v>
      </c>
      <c r="K60" s="11"/>
      <c r="L60" s="78" t="s">
        <v>26</v>
      </c>
      <c r="M60" s="81"/>
      <c r="N60" s="35">
        <v>2552450</v>
      </c>
      <c r="O60" s="29">
        <f>N60/7</f>
        <v>364635.714285714</v>
      </c>
      <c r="P60" s="29" t="s">
        <v>27</v>
      </c>
      <c r="Q60" s="26"/>
    </row>
    <row r="61" ht="13" customHeight="1" spans="1:17">
      <c r="A61" s="11">
        <v>57</v>
      </c>
      <c r="B61" s="12">
        <v>45698</v>
      </c>
      <c r="C61" s="13" t="s">
        <v>168</v>
      </c>
      <c r="D61" s="43" t="s">
        <v>19</v>
      </c>
      <c r="E61" s="43" t="s">
        <v>86</v>
      </c>
      <c r="F61" s="54" t="s">
        <v>41</v>
      </c>
      <c r="G61" s="19"/>
      <c r="H61" s="26"/>
      <c r="I61" s="11"/>
      <c r="J61" s="11"/>
      <c r="K61" s="11"/>
      <c r="L61" s="11"/>
      <c r="M61" s="81"/>
      <c r="N61" s="35"/>
      <c r="O61" s="29"/>
      <c r="P61" s="29" t="s">
        <v>27</v>
      </c>
      <c r="Q61" s="26"/>
    </row>
    <row r="62" ht="14.5" customHeight="1" spans="1:17">
      <c r="A62" s="11">
        <v>58</v>
      </c>
      <c r="B62" s="12">
        <v>45709</v>
      </c>
      <c r="C62" s="13" t="s">
        <v>169</v>
      </c>
      <c r="D62" s="43" t="s">
        <v>19</v>
      </c>
      <c r="E62" s="43" t="s">
        <v>86</v>
      </c>
      <c r="F62" s="11" t="s">
        <v>41</v>
      </c>
      <c r="G62" s="19"/>
      <c r="H62" s="26"/>
      <c r="I62" s="11"/>
      <c r="J62" s="11"/>
      <c r="K62" s="11"/>
      <c r="L62" s="11"/>
      <c r="M62" s="81"/>
      <c r="N62" s="29"/>
      <c r="O62" s="29"/>
      <c r="P62" s="29" t="s">
        <v>27</v>
      </c>
      <c r="Q62" s="26"/>
    </row>
    <row r="63" ht="14.5" customHeight="1" spans="1:17">
      <c r="A63" s="11">
        <v>59</v>
      </c>
      <c r="B63" s="12">
        <v>45709</v>
      </c>
      <c r="C63" s="13" t="s">
        <v>170</v>
      </c>
      <c r="D63" s="43" t="s">
        <v>19</v>
      </c>
      <c r="E63" s="43" t="s">
        <v>171</v>
      </c>
      <c r="F63" s="11" t="s">
        <v>41</v>
      </c>
      <c r="G63" s="19"/>
      <c r="H63" s="26"/>
      <c r="I63" s="11"/>
      <c r="J63" s="11"/>
      <c r="K63" s="11"/>
      <c r="L63" s="11"/>
      <c r="M63" s="81"/>
      <c r="N63" s="35"/>
      <c r="O63" s="29"/>
      <c r="P63" s="29" t="s">
        <v>27</v>
      </c>
      <c r="Q63" s="26"/>
    </row>
    <row r="64" ht="14.5" customHeight="1" spans="1:17">
      <c r="A64" s="11">
        <v>60</v>
      </c>
      <c r="B64" s="12">
        <v>45726</v>
      </c>
      <c r="C64" s="13" t="s">
        <v>172</v>
      </c>
      <c r="D64" s="43" t="s">
        <v>19</v>
      </c>
      <c r="E64" s="43" t="s">
        <v>86</v>
      </c>
      <c r="F64" s="54" t="s">
        <v>21</v>
      </c>
      <c r="G64" s="19"/>
      <c r="H64" s="26"/>
      <c r="I64" s="11"/>
      <c r="J64" s="11"/>
      <c r="K64" s="11"/>
      <c r="L64" s="11"/>
      <c r="M64" s="81"/>
      <c r="N64" s="35">
        <v>1711850</v>
      </c>
      <c r="O64" s="29">
        <f>N64/7*0.8</f>
        <v>195640</v>
      </c>
      <c r="P64" s="68" t="s">
        <v>161</v>
      </c>
      <c r="Q64" s="26" t="s">
        <v>162</v>
      </c>
    </row>
    <row r="65" ht="14.5" customHeight="1" spans="1:17">
      <c r="A65" s="11">
        <v>61</v>
      </c>
      <c r="B65" s="12">
        <v>45441</v>
      </c>
      <c r="C65" s="13" t="s">
        <v>173</v>
      </c>
      <c r="D65" s="43" t="s">
        <v>19</v>
      </c>
      <c r="E65" s="43" t="s">
        <v>20</v>
      </c>
      <c r="F65" s="11" t="s">
        <v>21</v>
      </c>
      <c r="G65" s="16" t="s">
        <v>174</v>
      </c>
      <c r="H65" s="26"/>
      <c r="I65" s="11"/>
      <c r="J65" s="11"/>
      <c r="K65" s="11"/>
      <c r="L65" s="78" t="s">
        <v>26</v>
      </c>
      <c r="M65" s="81"/>
      <c r="N65" s="29">
        <v>49692</v>
      </c>
      <c r="O65" s="29">
        <v>49692</v>
      </c>
      <c r="P65" s="29" t="s">
        <v>27</v>
      </c>
      <c r="Q65" s="26"/>
    </row>
    <row r="66" ht="13" customHeight="1" spans="1:17">
      <c r="A66" s="11">
        <v>62</v>
      </c>
      <c r="B66" s="12">
        <v>45614</v>
      </c>
      <c r="C66" s="13" t="s">
        <v>175</v>
      </c>
      <c r="D66" s="43" t="s">
        <v>19</v>
      </c>
      <c r="E66" s="43" t="s">
        <v>20</v>
      </c>
      <c r="F66" s="11" t="s">
        <v>21</v>
      </c>
      <c r="G66" s="19"/>
      <c r="H66" s="26" t="s">
        <v>176</v>
      </c>
      <c r="I66" s="11" t="s">
        <v>177</v>
      </c>
      <c r="J66" s="11" t="s">
        <v>39</v>
      </c>
      <c r="K66" s="11"/>
      <c r="L66" s="78" t="s">
        <v>26</v>
      </c>
      <c r="M66" s="81"/>
      <c r="N66" s="29">
        <v>21610</v>
      </c>
      <c r="O66" s="29">
        <f>21610*0.5</f>
        <v>10805</v>
      </c>
      <c r="P66" s="68" t="s">
        <v>178</v>
      </c>
      <c r="Q66" s="26" t="s">
        <v>98</v>
      </c>
    </row>
    <row r="67" spans="1:17">
      <c r="A67" s="11">
        <v>63</v>
      </c>
      <c r="B67" s="12">
        <v>45667</v>
      </c>
      <c r="C67" s="13" t="s">
        <v>179</v>
      </c>
      <c r="D67" s="43" t="s">
        <v>19</v>
      </c>
      <c r="E67" s="43" t="s">
        <v>20</v>
      </c>
      <c r="F67" s="11" t="s">
        <v>21</v>
      </c>
      <c r="G67" s="19"/>
      <c r="H67" s="26" t="s">
        <v>180</v>
      </c>
      <c r="I67" s="11"/>
      <c r="J67" s="11" t="s">
        <v>33</v>
      </c>
      <c r="K67" s="11"/>
      <c r="L67" s="78" t="s">
        <v>26</v>
      </c>
      <c r="M67" s="81"/>
      <c r="N67" s="29">
        <v>83457</v>
      </c>
      <c r="O67" s="29">
        <v>83457</v>
      </c>
      <c r="P67" s="29" t="s">
        <v>27</v>
      </c>
      <c r="Q67" s="26"/>
    </row>
    <row r="68" spans="1:17">
      <c r="A68" s="11">
        <v>64</v>
      </c>
      <c r="B68" s="12">
        <v>45678</v>
      </c>
      <c r="C68" s="13" t="s">
        <v>181</v>
      </c>
      <c r="D68" s="43" t="s">
        <v>19</v>
      </c>
      <c r="E68" s="43" t="s">
        <v>20</v>
      </c>
      <c r="F68" s="11" t="s">
        <v>41</v>
      </c>
      <c r="G68" s="22"/>
      <c r="H68" s="26"/>
      <c r="I68" s="11"/>
      <c r="J68" s="11"/>
      <c r="K68" s="11"/>
      <c r="L68" s="11"/>
      <c r="M68" s="81"/>
      <c r="N68" s="29"/>
      <c r="O68" s="29"/>
      <c r="P68" s="68" t="s">
        <v>178</v>
      </c>
      <c r="Q68" s="26"/>
    </row>
    <row r="69" spans="1:17">
      <c r="A69" s="11">
        <v>65</v>
      </c>
      <c r="B69" s="12">
        <v>45580</v>
      </c>
      <c r="C69" s="13" t="s">
        <v>182</v>
      </c>
      <c r="D69" s="43" t="s">
        <v>19</v>
      </c>
      <c r="E69" s="43" t="s">
        <v>183</v>
      </c>
      <c r="F69" s="11" t="s">
        <v>21</v>
      </c>
      <c r="G69" s="16" t="s">
        <v>184</v>
      </c>
      <c r="H69" s="26" t="s">
        <v>185</v>
      </c>
      <c r="I69" s="11" t="s">
        <v>186</v>
      </c>
      <c r="J69" s="11" t="s">
        <v>39</v>
      </c>
      <c r="K69" s="11"/>
      <c r="L69" s="11"/>
      <c r="M69" s="81">
        <v>6</v>
      </c>
      <c r="N69" s="29">
        <v>80000</v>
      </c>
      <c r="O69" s="29">
        <v>80000</v>
      </c>
      <c r="P69" s="29" t="s">
        <v>27</v>
      </c>
      <c r="Q69" s="26"/>
    </row>
    <row r="70" spans="1:17">
      <c r="A70" s="11">
        <v>66</v>
      </c>
      <c r="B70" s="12">
        <v>45694</v>
      </c>
      <c r="C70" s="13" t="s">
        <v>187</v>
      </c>
      <c r="D70" s="43" t="s">
        <v>188</v>
      </c>
      <c r="E70" s="43" t="s">
        <v>183</v>
      </c>
      <c r="F70" s="11" t="s">
        <v>21</v>
      </c>
      <c r="G70" s="22"/>
      <c r="H70" s="69" t="s">
        <v>189</v>
      </c>
      <c r="I70" s="54" t="s">
        <v>190</v>
      </c>
      <c r="J70" s="11" t="s">
        <v>39</v>
      </c>
      <c r="K70" s="11"/>
      <c r="L70" s="11"/>
      <c r="M70" s="11">
        <v>36</v>
      </c>
      <c r="N70" s="35">
        <v>274500</v>
      </c>
      <c r="O70" s="29">
        <f>N70/7</f>
        <v>39214.2857142857</v>
      </c>
      <c r="P70" s="29" t="s">
        <v>27</v>
      </c>
      <c r="Q70" s="26"/>
    </row>
    <row r="71" spans="1:17">
      <c r="A71" s="11">
        <v>67</v>
      </c>
      <c r="B71" s="90">
        <v>45719</v>
      </c>
      <c r="C71" s="91" t="s">
        <v>191</v>
      </c>
      <c r="D71" s="92" t="s">
        <v>188</v>
      </c>
      <c r="E71" s="92" t="s">
        <v>183</v>
      </c>
      <c r="F71" s="81" t="s">
        <v>21</v>
      </c>
      <c r="G71" s="81" t="s">
        <v>192</v>
      </c>
      <c r="H71" s="26"/>
      <c r="I71" s="11"/>
      <c r="J71" s="11"/>
      <c r="K71" s="11"/>
      <c r="L71" s="11"/>
      <c r="M71" s="11">
        <v>12</v>
      </c>
      <c r="N71" s="29">
        <v>21600</v>
      </c>
      <c r="O71" s="29">
        <f>N71</f>
        <v>21600</v>
      </c>
      <c r="P71" s="29" t="s">
        <v>27</v>
      </c>
      <c r="Q71" s="26"/>
    </row>
    <row r="72" spans="1:17">
      <c r="A72" s="11">
        <v>68</v>
      </c>
      <c r="B72" s="17">
        <v>45693</v>
      </c>
      <c r="C72" s="93" t="s">
        <v>193</v>
      </c>
      <c r="D72" s="94" t="s">
        <v>19</v>
      </c>
      <c r="E72" s="94" t="s">
        <v>20</v>
      </c>
      <c r="F72" s="16" t="s">
        <v>41</v>
      </c>
      <c r="G72" s="16" t="s">
        <v>194</v>
      </c>
      <c r="H72" s="26"/>
      <c r="I72" s="11"/>
      <c r="J72" s="11"/>
      <c r="K72" s="11"/>
      <c r="L72" s="11"/>
      <c r="M72" s="11"/>
      <c r="N72" s="35"/>
      <c r="O72" s="29"/>
      <c r="P72" s="29" t="s">
        <v>27</v>
      </c>
      <c r="Q72" s="26"/>
    </row>
    <row r="73" spans="1:17">
      <c r="A73" s="11">
        <v>69</v>
      </c>
      <c r="B73" s="17">
        <v>45693</v>
      </c>
      <c r="C73" s="93" t="s">
        <v>195</v>
      </c>
      <c r="D73" s="94" t="s">
        <v>19</v>
      </c>
      <c r="E73" s="94" t="s">
        <v>20</v>
      </c>
      <c r="F73" s="16" t="s">
        <v>41</v>
      </c>
      <c r="G73" s="19"/>
      <c r="H73" s="26"/>
      <c r="I73" s="11"/>
      <c r="J73" s="11"/>
      <c r="K73" s="11"/>
      <c r="L73" s="11"/>
      <c r="M73" s="11"/>
      <c r="N73" s="35"/>
      <c r="O73" s="29"/>
      <c r="P73" s="29" t="s">
        <v>27</v>
      </c>
      <c r="Q73" s="26"/>
    </row>
    <row r="74" spans="1:17">
      <c r="A74" s="11">
        <v>70</v>
      </c>
      <c r="B74" s="17">
        <v>45693</v>
      </c>
      <c r="C74" s="93" t="s">
        <v>196</v>
      </c>
      <c r="D74" s="94" t="s">
        <v>19</v>
      </c>
      <c r="E74" s="94" t="s">
        <v>20</v>
      </c>
      <c r="F74" s="16" t="s">
        <v>41</v>
      </c>
      <c r="G74" s="19"/>
      <c r="H74" s="26"/>
      <c r="I74" s="11"/>
      <c r="J74" s="11"/>
      <c r="K74" s="11"/>
      <c r="L74" s="11"/>
      <c r="M74" s="11"/>
      <c r="N74" s="35"/>
      <c r="O74" s="29"/>
      <c r="P74" s="29" t="s">
        <v>27</v>
      </c>
      <c r="Q74" s="26"/>
    </row>
    <row r="75" spans="1:17">
      <c r="A75" s="11">
        <v>69</v>
      </c>
      <c r="B75" s="12">
        <v>45525</v>
      </c>
      <c r="C75" s="13" t="s">
        <v>197</v>
      </c>
      <c r="D75" s="43" t="s">
        <v>188</v>
      </c>
      <c r="E75" s="43" t="s">
        <v>183</v>
      </c>
      <c r="F75" s="11" t="s">
        <v>21</v>
      </c>
      <c r="G75" s="16" t="s">
        <v>198</v>
      </c>
      <c r="H75" s="26" t="s">
        <v>199</v>
      </c>
      <c r="I75" s="11"/>
      <c r="J75" s="11" t="s">
        <v>33</v>
      </c>
      <c r="K75" s="11"/>
      <c r="L75" s="11"/>
      <c r="M75" s="11"/>
      <c r="N75" s="35">
        <v>7733.76</v>
      </c>
      <c r="O75" s="29">
        <f>7733.76/7</f>
        <v>1104.82285714286</v>
      </c>
      <c r="P75" s="29" t="s">
        <v>27</v>
      </c>
      <c r="Q75" s="26" t="s">
        <v>200</v>
      </c>
    </row>
    <row r="76" spans="1:17">
      <c r="A76" s="11">
        <v>70</v>
      </c>
      <c r="B76" s="12">
        <v>45525</v>
      </c>
      <c r="C76" s="13" t="s">
        <v>201</v>
      </c>
      <c r="D76" s="43" t="s">
        <v>188</v>
      </c>
      <c r="E76" s="43" t="s">
        <v>183</v>
      </c>
      <c r="F76" s="11" t="s">
        <v>21</v>
      </c>
      <c r="G76" s="19"/>
      <c r="H76" s="26" t="s">
        <v>202</v>
      </c>
      <c r="I76" s="11"/>
      <c r="J76" s="11" t="s">
        <v>33</v>
      </c>
      <c r="K76" s="11"/>
      <c r="L76" s="11"/>
      <c r="M76" s="11"/>
      <c r="N76" s="35">
        <v>15989.76</v>
      </c>
      <c r="O76" s="29">
        <f>15989.76/7</f>
        <v>2284.25142857143</v>
      </c>
      <c r="P76" s="29" t="s">
        <v>27</v>
      </c>
      <c r="Q76" s="26" t="s">
        <v>200</v>
      </c>
    </row>
    <row r="77" spans="1:17">
      <c r="A77" s="11">
        <v>71</v>
      </c>
      <c r="B77" s="12">
        <v>45565</v>
      </c>
      <c r="C77" s="13" t="s">
        <v>203</v>
      </c>
      <c r="D77" s="43" t="s">
        <v>188</v>
      </c>
      <c r="E77" s="43" t="s">
        <v>183</v>
      </c>
      <c r="F77" s="11" t="s">
        <v>21</v>
      </c>
      <c r="G77" s="19"/>
      <c r="H77" s="26" t="s">
        <v>204</v>
      </c>
      <c r="I77" s="11"/>
      <c r="J77" s="11" t="s">
        <v>33</v>
      </c>
      <c r="K77" s="11"/>
      <c r="L77" s="11"/>
      <c r="M77" s="11"/>
      <c r="N77" s="35">
        <v>3840</v>
      </c>
      <c r="O77" s="29">
        <f>3840/7</f>
        <v>548.571428571429</v>
      </c>
      <c r="P77" s="29" t="s">
        <v>27</v>
      </c>
      <c r="Q77" s="26" t="s">
        <v>200</v>
      </c>
    </row>
    <row r="78" spans="1:17">
      <c r="A78" s="11">
        <v>72</v>
      </c>
      <c r="B78" s="12">
        <v>45628</v>
      </c>
      <c r="C78" s="13" t="s">
        <v>205</v>
      </c>
      <c r="D78" s="43" t="s">
        <v>188</v>
      </c>
      <c r="E78" s="43" t="s">
        <v>183</v>
      </c>
      <c r="F78" s="11" t="s">
        <v>21</v>
      </c>
      <c r="G78" s="19"/>
      <c r="H78" s="26" t="s">
        <v>206</v>
      </c>
      <c r="I78" s="11" t="s">
        <v>207</v>
      </c>
      <c r="J78" s="54" t="s">
        <v>25</v>
      </c>
      <c r="K78" s="54" t="s">
        <v>208</v>
      </c>
      <c r="L78" s="54"/>
      <c r="M78" s="54"/>
      <c r="N78" s="29">
        <v>76080</v>
      </c>
      <c r="O78" s="29">
        <f>N78</f>
        <v>76080</v>
      </c>
      <c r="P78" s="29" t="s">
        <v>27</v>
      </c>
      <c r="Q78" s="26" t="s">
        <v>200</v>
      </c>
    </row>
    <row r="79" spans="1:17">
      <c r="A79" s="11">
        <v>73</v>
      </c>
      <c r="B79" s="12">
        <v>45678</v>
      </c>
      <c r="C79" s="13" t="s">
        <v>209</v>
      </c>
      <c r="D79" s="43" t="s">
        <v>188</v>
      </c>
      <c r="E79" s="43" t="s">
        <v>183</v>
      </c>
      <c r="F79" s="11" t="s">
        <v>21</v>
      </c>
      <c r="G79" s="19"/>
      <c r="H79" s="26" t="s">
        <v>210</v>
      </c>
      <c r="I79" s="11" t="s">
        <v>211</v>
      </c>
      <c r="J79" s="11" t="s">
        <v>33</v>
      </c>
      <c r="K79" s="11"/>
      <c r="L79" s="11"/>
      <c r="M79" s="11"/>
      <c r="N79" s="35">
        <v>6816</v>
      </c>
      <c r="O79" s="29">
        <f>6816/7</f>
        <v>973.714285714286</v>
      </c>
      <c r="P79" s="29" t="s">
        <v>27</v>
      </c>
      <c r="Q79" s="26" t="s">
        <v>200</v>
      </c>
    </row>
    <row r="80" spans="1:17">
      <c r="A80" s="11">
        <v>74</v>
      </c>
      <c r="B80" s="12">
        <v>45678</v>
      </c>
      <c r="C80" s="13" t="s">
        <v>212</v>
      </c>
      <c r="D80" s="43" t="s">
        <v>188</v>
      </c>
      <c r="E80" s="43" t="s">
        <v>183</v>
      </c>
      <c r="F80" s="11" t="s">
        <v>21</v>
      </c>
      <c r="G80" s="19"/>
      <c r="H80" s="26"/>
      <c r="I80" s="11"/>
      <c r="J80" s="11"/>
      <c r="K80" s="11"/>
      <c r="L80" s="11"/>
      <c r="M80" s="11"/>
      <c r="N80" s="35">
        <v>672</v>
      </c>
      <c r="O80" s="29">
        <f>672/7</f>
        <v>96</v>
      </c>
      <c r="P80" s="29" t="s">
        <v>27</v>
      </c>
      <c r="Q80" s="26" t="s">
        <v>200</v>
      </c>
    </row>
    <row r="81" spans="1:17">
      <c r="A81" s="11">
        <v>75</v>
      </c>
      <c r="B81" s="12">
        <v>45678</v>
      </c>
      <c r="C81" s="13" t="s">
        <v>213</v>
      </c>
      <c r="D81" s="43" t="s">
        <v>188</v>
      </c>
      <c r="E81" s="43" t="s">
        <v>183</v>
      </c>
      <c r="F81" s="11" t="s">
        <v>21</v>
      </c>
      <c r="G81" s="19"/>
      <c r="H81" s="26"/>
      <c r="I81" s="11"/>
      <c r="J81" s="11"/>
      <c r="K81" s="11"/>
      <c r="L81" s="11"/>
      <c r="M81" s="11"/>
      <c r="N81" s="35">
        <v>3840</v>
      </c>
      <c r="O81" s="29">
        <f>3840/7</f>
        <v>548.571428571429</v>
      </c>
      <c r="P81" s="29" t="s">
        <v>27</v>
      </c>
      <c r="Q81" s="26" t="s">
        <v>200</v>
      </c>
    </row>
    <row r="82" spans="1:17">
      <c r="A82" s="11">
        <v>76</v>
      </c>
      <c r="B82" s="12">
        <v>45678</v>
      </c>
      <c r="C82" s="13" t="s">
        <v>214</v>
      </c>
      <c r="D82" s="43" t="s">
        <v>188</v>
      </c>
      <c r="E82" s="43" t="s">
        <v>183</v>
      </c>
      <c r="F82" s="11" t="s">
        <v>21</v>
      </c>
      <c r="G82" s="19"/>
      <c r="H82" s="26"/>
      <c r="I82" s="11"/>
      <c r="J82" s="11"/>
      <c r="K82" s="11"/>
      <c r="L82" s="11"/>
      <c r="M82" s="11"/>
      <c r="N82" s="35">
        <v>7488</v>
      </c>
      <c r="O82" s="29">
        <f>7488/7</f>
        <v>1069.71428571429</v>
      </c>
      <c r="P82" s="29" t="s">
        <v>27</v>
      </c>
      <c r="Q82" s="26" t="s">
        <v>200</v>
      </c>
    </row>
    <row r="83" spans="1:17">
      <c r="A83" s="11">
        <v>77</v>
      </c>
      <c r="B83" s="12">
        <v>45678</v>
      </c>
      <c r="C83" s="13" t="s">
        <v>215</v>
      </c>
      <c r="D83" s="43" t="s">
        <v>188</v>
      </c>
      <c r="E83" s="43" t="s">
        <v>183</v>
      </c>
      <c r="F83" s="11" t="s">
        <v>21</v>
      </c>
      <c r="G83" s="19"/>
      <c r="H83" s="26" t="s">
        <v>216</v>
      </c>
      <c r="I83" s="11"/>
      <c r="J83" s="11" t="s">
        <v>33</v>
      </c>
      <c r="K83" s="11"/>
      <c r="L83" s="11"/>
      <c r="M83" s="11"/>
      <c r="N83" s="35">
        <v>59520.12</v>
      </c>
      <c r="O83" s="29">
        <f>59520.12/7</f>
        <v>8502.87428571429</v>
      </c>
      <c r="P83" s="29" t="s">
        <v>27</v>
      </c>
      <c r="Q83" s="26" t="s">
        <v>200</v>
      </c>
    </row>
    <row r="84" spans="1:17">
      <c r="A84" s="11">
        <v>78</v>
      </c>
      <c r="B84" s="12">
        <v>45678</v>
      </c>
      <c r="C84" s="13" t="s">
        <v>217</v>
      </c>
      <c r="D84" s="43" t="s">
        <v>188</v>
      </c>
      <c r="E84" s="43" t="s">
        <v>183</v>
      </c>
      <c r="F84" s="11" t="s">
        <v>21</v>
      </c>
      <c r="G84" s="19"/>
      <c r="H84" s="26"/>
      <c r="I84" s="11"/>
      <c r="J84" s="11"/>
      <c r="K84" s="11"/>
      <c r="L84" s="11"/>
      <c r="M84" s="11"/>
      <c r="N84" s="35">
        <v>11094.34</v>
      </c>
      <c r="O84" s="29">
        <f>11094.34/7</f>
        <v>1584.90571428571</v>
      </c>
      <c r="P84" s="29" t="s">
        <v>27</v>
      </c>
      <c r="Q84" s="26" t="s">
        <v>200</v>
      </c>
    </row>
    <row r="85" spans="1:17">
      <c r="A85" s="11">
        <v>79</v>
      </c>
      <c r="B85" s="12">
        <v>45700</v>
      </c>
      <c r="C85" s="13" t="s">
        <v>218</v>
      </c>
      <c r="D85" s="43" t="s">
        <v>188</v>
      </c>
      <c r="E85" s="43" t="s">
        <v>183</v>
      </c>
      <c r="F85" s="11" t="s">
        <v>21</v>
      </c>
      <c r="G85" s="19"/>
      <c r="H85" s="26"/>
      <c r="I85" s="11"/>
      <c r="J85" s="11"/>
      <c r="K85" s="11"/>
      <c r="L85" s="11"/>
      <c r="M85" s="11"/>
      <c r="N85" s="35">
        <v>5145.6</v>
      </c>
      <c r="O85" s="29">
        <f t="shared" ref="O85:O88" si="0">N85/7</f>
        <v>735.085714285714</v>
      </c>
      <c r="P85" s="29" t="s">
        <v>27</v>
      </c>
      <c r="Q85" s="26" t="s">
        <v>200</v>
      </c>
    </row>
    <row r="86" spans="1:17">
      <c r="A86" s="11">
        <v>80</v>
      </c>
      <c r="B86" s="12">
        <v>45706</v>
      </c>
      <c r="C86" s="13" t="s">
        <v>219</v>
      </c>
      <c r="D86" s="43" t="s">
        <v>188</v>
      </c>
      <c r="E86" s="43" t="s">
        <v>183</v>
      </c>
      <c r="F86" s="11" t="s">
        <v>21</v>
      </c>
      <c r="G86" s="19"/>
      <c r="H86" s="26"/>
      <c r="I86" s="11"/>
      <c r="J86" s="11"/>
      <c r="K86" s="11"/>
      <c r="L86" s="11"/>
      <c r="M86" s="11"/>
      <c r="N86" s="35">
        <v>7733.76</v>
      </c>
      <c r="O86" s="29">
        <f t="shared" si="0"/>
        <v>1104.82285714286</v>
      </c>
      <c r="P86" s="29" t="s">
        <v>27</v>
      </c>
      <c r="Q86" s="26" t="s">
        <v>200</v>
      </c>
    </row>
    <row r="87" spans="1:17">
      <c r="A87" s="11">
        <v>81</v>
      </c>
      <c r="B87" s="12">
        <v>45706</v>
      </c>
      <c r="C87" s="13" t="s">
        <v>220</v>
      </c>
      <c r="D87" s="43" t="s">
        <v>188</v>
      </c>
      <c r="E87" s="43" t="s">
        <v>183</v>
      </c>
      <c r="F87" s="11" t="s">
        <v>21</v>
      </c>
      <c r="G87" s="19"/>
      <c r="H87" s="26"/>
      <c r="I87" s="11"/>
      <c r="J87" s="11"/>
      <c r="K87" s="11"/>
      <c r="L87" s="11"/>
      <c r="M87" s="11"/>
      <c r="N87" s="35">
        <v>7733.76</v>
      </c>
      <c r="O87" s="29">
        <f t="shared" si="0"/>
        <v>1104.82285714286</v>
      </c>
      <c r="P87" s="29" t="s">
        <v>27</v>
      </c>
      <c r="Q87" s="26" t="s">
        <v>200</v>
      </c>
    </row>
    <row r="88" spans="1:17">
      <c r="A88" s="11">
        <v>82</v>
      </c>
      <c r="B88" s="12">
        <v>45708</v>
      </c>
      <c r="C88" s="13" t="s">
        <v>221</v>
      </c>
      <c r="D88" s="43" t="s">
        <v>188</v>
      </c>
      <c r="E88" s="43" t="s">
        <v>183</v>
      </c>
      <c r="F88" s="11" t="s">
        <v>21</v>
      </c>
      <c r="G88" s="22"/>
      <c r="H88" s="26"/>
      <c r="I88" s="11"/>
      <c r="J88" s="11"/>
      <c r="K88" s="11"/>
      <c r="L88" s="11"/>
      <c r="M88" s="11"/>
      <c r="N88" s="35">
        <v>12864</v>
      </c>
      <c r="O88" s="29">
        <f t="shared" si="0"/>
        <v>1837.71428571429</v>
      </c>
      <c r="P88" s="29" t="s">
        <v>27</v>
      </c>
      <c r="Q88" s="26" t="s">
        <v>200</v>
      </c>
    </row>
    <row r="89" spans="1:17">
      <c r="A89" s="16">
        <v>83</v>
      </c>
      <c r="B89" s="95">
        <v>45706</v>
      </c>
      <c r="C89" s="96" t="s">
        <v>222</v>
      </c>
      <c r="D89" s="97" t="s">
        <v>188</v>
      </c>
      <c r="E89" s="97" t="s">
        <v>183</v>
      </c>
      <c r="F89" s="73" t="s">
        <v>138</v>
      </c>
      <c r="G89" s="73" t="s">
        <v>223</v>
      </c>
      <c r="H89" s="102" t="s">
        <v>224</v>
      </c>
      <c r="I89" s="73"/>
      <c r="J89" s="16" t="s">
        <v>33</v>
      </c>
      <c r="K89" s="73"/>
      <c r="L89" s="73"/>
      <c r="M89" s="73">
        <v>3</v>
      </c>
      <c r="N89" s="31">
        <v>-632.26</v>
      </c>
      <c r="O89" s="105">
        <f>N89</f>
        <v>-632.26</v>
      </c>
      <c r="P89" s="105" t="s">
        <v>27</v>
      </c>
      <c r="Q89" s="107"/>
    </row>
    <row r="90" spans="1:17">
      <c r="A90" s="98">
        <v>84</v>
      </c>
      <c r="B90" s="99">
        <v>45740</v>
      </c>
      <c r="C90" s="100" t="s">
        <v>225</v>
      </c>
      <c r="D90" s="101" t="s">
        <v>226</v>
      </c>
      <c r="E90" s="101"/>
      <c r="F90" s="103" t="s">
        <v>21</v>
      </c>
      <c r="G90" s="103" t="s">
        <v>227</v>
      </c>
      <c r="H90" s="104"/>
      <c r="I90" s="98"/>
      <c r="J90" s="98"/>
      <c r="K90" s="98"/>
      <c r="L90" s="98"/>
      <c r="M90" s="98"/>
      <c r="N90" s="106">
        <v>35007.23</v>
      </c>
      <c r="O90" s="106">
        <v>35007.23</v>
      </c>
      <c r="P90" s="106"/>
      <c r="Q90" s="108"/>
    </row>
    <row r="91" spans="14:14">
      <c r="N91" s="2"/>
    </row>
    <row r="92" spans="14:15">
      <c r="N92" s="39" t="s">
        <v>228</v>
      </c>
      <c r="O92" s="40">
        <f>SUM(O3:O72)+O89</f>
        <v>5825362.90528571</v>
      </c>
    </row>
    <row r="93" spans="14:14">
      <c r="N93" s="2"/>
    </row>
    <row r="94" spans="14:14">
      <c r="N94" s="2"/>
    </row>
    <row r="96" spans="14:15">
      <c r="N96" s="2"/>
      <c r="O96" s="2"/>
    </row>
    <row r="97" spans="14:15">
      <c r="N97" s="2"/>
      <c r="O97" s="2"/>
    </row>
    <row r="98" spans="7:15">
      <c r="G98" s="5"/>
      <c r="H98" s="37"/>
      <c r="I98" s="5"/>
      <c r="J98" s="5"/>
      <c r="K98" s="5"/>
      <c r="L98" s="5"/>
      <c r="M98" s="5"/>
      <c r="N98" s="2"/>
      <c r="O98" s="2"/>
    </row>
    <row r="99" spans="7:16">
      <c r="G99" s="5"/>
      <c r="H99" s="37"/>
      <c r="I99" s="5"/>
      <c r="J99" s="5"/>
      <c r="K99" s="5"/>
      <c r="L99" s="5"/>
      <c r="M99" s="5"/>
      <c r="N99" s="2"/>
      <c r="O99" s="2"/>
      <c r="P99" s="2"/>
    </row>
    <row r="100" spans="7:16">
      <c r="G100" s="5"/>
      <c r="H100" s="37"/>
      <c r="I100" s="5"/>
      <c r="J100" s="5"/>
      <c r="K100" s="5"/>
      <c r="L100" s="5"/>
      <c r="M100" s="5"/>
      <c r="N100" s="2"/>
      <c r="O100" s="2"/>
      <c r="P100" s="2"/>
    </row>
    <row r="101" spans="14:15">
      <c r="N101" s="2"/>
      <c r="O101" s="2"/>
    </row>
    <row r="102" spans="7:15">
      <c r="G102" s="5"/>
      <c r="H102" s="37"/>
      <c r="I102" s="5"/>
      <c r="J102" s="5"/>
      <c r="K102" s="5"/>
      <c r="L102" s="5"/>
      <c r="M102" s="5"/>
      <c r="N102" s="2"/>
      <c r="O102" s="2"/>
    </row>
    <row r="103" spans="7:15">
      <c r="G103" s="5"/>
      <c r="H103" s="37"/>
      <c r="I103" s="5"/>
      <c r="J103" s="5"/>
      <c r="K103" s="5"/>
      <c r="L103" s="5"/>
      <c r="M103" s="5"/>
      <c r="N103" s="2"/>
      <c r="O103" s="2"/>
    </row>
    <row r="104" spans="7:13">
      <c r="G104" s="5"/>
      <c r="H104" s="37"/>
      <c r="I104" s="5"/>
      <c r="J104" s="5"/>
      <c r="K104" s="5"/>
      <c r="L104" s="5"/>
      <c r="M104" s="5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2:Q89" etc:filterBottomFollowUsedRange="0">
    <extLst/>
  </autoFilter>
  <mergeCells count="16">
    <mergeCell ref="A1:P1"/>
    <mergeCell ref="A9:A11"/>
    <mergeCell ref="B9:B11"/>
    <mergeCell ref="C9:C11"/>
    <mergeCell ref="D9:D11"/>
    <mergeCell ref="E9:E11"/>
    <mergeCell ref="F9:F11"/>
    <mergeCell ref="G3:G16"/>
    <mergeCell ref="G17:G31"/>
    <mergeCell ref="G32:G43"/>
    <mergeCell ref="G44:G47"/>
    <mergeCell ref="G48:G64"/>
    <mergeCell ref="G65:G68"/>
    <mergeCell ref="G69:G70"/>
    <mergeCell ref="G72:G74"/>
    <mergeCell ref="G75:G88"/>
  </mergeCells>
  <pageMargins left="0.75" right="0.75" top="1" bottom="1" header="0.5" footer="0.5"/>
  <pageSetup paperSize="1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5"/>
  <sheetViews>
    <sheetView zoomScale="129" zoomScaleNormal="129" topLeftCell="I26" workbookViewId="0">
      <selection activeCell="I20" sqref="I20"/>
    </sheetView>
  </sheetViews>
  <sheetFormatPr defaultColWidth="47.2666666666667" defaultRowHeight="12.75"/>
  <cols>
    <col min="1" max="1" width="5.09166666666667" style="2" customWidth="1"/>
    <col min="2" max="2" width="9.36666666666667" style="3" customWidth="1"/>
    <col min="3" max="3" width="51.9083333333333" style="4" customWidth="1"/>
    <col min="4" max="4" width="15.45" style="2" customWidth="1"/>
    <col min="5" max="5" width="12.5416666666667" style="2" customWidth="1"/>
    <col min="6" max="6" width="10.0916666666667" style="2" customWidth="1"/>
    <col min="7" max="7" width="12" style="2" customWidth="1"/>
    <col min="8" max="8" width="19.9083333333333" style="4" customWidth="1"/>
    <col min="9" max="9" width="12.3916666666667" style="2" customWidth="1"/>
    <col min="10" max="11" width="15.6333333333333" style="2" customWidth="1"/>
    <col min="12" max="12" width="13.6333333333333" style="5" customWidth="1"/>
    <col min="13" max="13" width="19.4166666666667" style="5" customWidth="1"/>
    <col min="14" max="14" width="17.9083333333333" style="5" customWidth="1"/>
    <col min="15" max="15" width="28.2666666666667" style="2" customWidth="1"/>
    <col min="16" max="16" width="47.2666666666667" style="2" customWidth="1"/>
    <col min="17" max="16384" width="47.2666666666667" style="2"/>
  </cols>
  <sheetData>
    <row r="1" ht="13" customHeight="1" spans="1:15">
      <c r="A1" s="6" t="s">
        <v>229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27"/>
      <c r="O1" s="33"/>
    </row>
    <row r="2" s="1" customFormat="1" ht="24" spans="1:15">
      <c r="A2" s="8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25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28" t="s">
        <v>14</v>
      </c>
      <c r="M2" s="28" t="s">
        <v>15</v>
      </c>
      <c r="N2" s="28" t="s">
        <v>16</v>
      </c>
      <c r="O2" s="8" t="s">
        <v>17</v>
      </c>
    </row>
    <row r="3" ht="14.5" customHeight="1" spans="1:15">
      <c r="A3" s="11">
        <v>1</v>
      </c>
      <c r="B3" s="12">
        <v>45400</v>
      </c>
      <c r="C3" s="13" t="s">
        <v>18</v>
      </c>
      <c r="D3" s="43" t="s">
        <v>19</v>
      </c>
      <c r="E3" s="43" t="s">
        <v>20</v>
      </c>
      <c r="F3" s="11" t="s">
        <v>21</v>
      </c>
      <c r="G3" s="16" t="s">
        <v>22</v>
      </c>
      <c r="H3" s="26" t="s">
        <v>23</v>
      </c>
      <c r="I3" s="11" t="s">
        <v>24</v>
      </c>
      <c r="J3" s="11" t="s">
        <v>39</v>
      </c>
      <c r="K3" s="11"/>
      <c r="L3" s="29">
        <v>29212.2</v>
      </c>
      <c r="M3" s="29">
        <v>29212.2</v>
      </c>
      <c r="N3" s="29" t="s">
        <v>27</v>
      </c>
      <c r="O3" s="26"/>
    </row>
    <row r="4" spans="1:15">
      <c r="A4" s="11">
        <v>2</v>
      </c>
      <c r="B4" s="14" t="s">
        <v>28</v>
      </c>
      <c r="C4" s="15" t="s">
        <v>29</v>
      </c>
      <c r="D4" s="44" t="s">
        <v>30</v>
      </c>
      <c r="E4" s="44" t="s">
        <v>31</v>
      </c>
      <c r="F4" s="11" t="s">
        <v>21</v>
      </c>
      <c r="G4" s="19"/>
      <c r="H4" s="26" t="s">
        <v>32</v>
      </c>
      <c r="I4" s="11"/>
      <c r="J4" s="11" t="s">
        <v>33</v>
      </c>
      <c r="K4" s="11"/>
      <c r="L4" s="30">
        <v>1200</v>
      </c>
      <c r="M4" s="30">
        <v>1200</v>
      </c>
      <c r="N4" s="29" t="s">
        <v>27</v>
      </c>
      <c r="O4" s="26"/>
    </row>
    <row r="5" spans="1:15">
      <c r="A5" s="11">
        <v>3</v>
      </c>
      <c r="B5" s="14" t="s">
        <v>28</v>
      </c>
      <c r="C5" s="15" t="s">
        <v>34</v>
      </c>
      <c r="D5" s="44" t="s">
        <v>30</v>
      </c>
      <c r="E5" s="44" t="s">
        <v>31</v>
      </c>
      <c r="F5" s="11" t="s">
        <v>21</v>
      </c>
      <c r="G5" s="19"/>
      <c r="H5" s="26" t="s">
        <v>35</v>
      </c>
      <c r="I5" s="11"/>
      <c r="J5" s="11" t="s">
        <v>33</v>
      </c>
      <c r="K5" s="11"/>
      <c r="L5" s="30">
        <v>12000</v>
      </c>
      <c r="M5" s="30">
        <v>12000</v>
      </c>
      <c r="N5" s="29" t="s">
        <v>27</v>
      </c>
      <c r="O5" s="26"/>
    </row>
    <row r="6" spans="1:15">
      <c r="A6" s="11">
        <v>4</v>
      </c>
      <c r="B6" s="12">
        <v>45642</v>
      </c>
      <c r="C6" s="13" t="s">
        <v>36</v>
      </c>
      <c r="D6" s="43" t="s">
        <v>19</v>
      </c>
      <c r="E6" s="43" t="s">
        <v>20</v>
      </c>
      <c r="F6" s="54" t="s">
        <v>21</v>
      </c>
      <c r="G6" s="19"/>
      <c r="H6" s="26"/>
      <c r="I6" s="11"/>
      <c r="J6" s="11"/>
      <c r="K6" s="11"/>
      <c r="L6" s="30">
        <v>169301</v>
      </c>
      <c r="M6" s="30">
        <f t="shared" ref="M6:M11" si="0">L6</f>
        <v>169301</v>
      </c>
      <c r="N6" s="29" t="s">
        <v>27</v>
      </c>
      <c r="O6" s="26"/>
    </row>
    <row r="7" spans="1:15">
      <c r="A7" s="11">
        <v>5</v>
      </c>
      <c r="B7" s="12">
        <v>45674</v>
      </c>
      <c r="C7" s="13" t="s">
        <v>40</v>
      </c>
      <c r="D7" s="43" t="s">
        <v>19</v>
      </c>
      <c r="E7" s="43" t="s">
        <v>20</v>
      </c>
      <c r="F7" s="11" t="s">
        <v>41</v>
      </c>
      <c r="G7" s="19"/>
      <c r="H7" s="26"/>
      <c r="I7" s="11"/>
      <c r="J7" s="11"/>
      <c r="K7" s="11"/>
      <c r="L7" s="30"/>
      <c r="M7" s="30"/>
      <c r="N7" s="29" t="s">
        <v>27</v>
      </c>
      <c r="O7" s="26"/>
    </row>
    <row r="8" spans="1:15">
      <c r="A8" s="11">
        <v>6</v>
      </c>
      <c r="B8" s="12">
        <v>45679</v>
      </c>
      <c r="C8" s="13" t="s">
        <v>42</v>
      </c>
      <c r="D8" s="43" t="s">
        <v>19</v>
      </c>
      <c r="E8" s="43" t="s">
        <v>20</v>
      </c>
      <c r="F8" s="11" t="s">
        <v>41</v>
      </c>
      <c r="G8" s="19"/>
      <c r="H8" s="26"/>
      <c r="I8" s="11"/>
      <c r="J8" s="11"/>
      <c r="K8" s="11"/>
      <c r="L8" s="30"/>
      <c r="M8" s="30"/>
      <c r="N8" s="29" t="s">
        <v>27</v>
      </c>
      <c r="O8" s="26"/>
    </row>
    <row r="9" spans="1:15">
      <c r="A9" s="16">
        <v>7</v>
      </c>
      <c r="B9" s="17">
        <v>45680</v>
      </c>
      <c r="C9" s="18" t="s">
        <v>43</v>
      </c>
      <c r="D9" s="45" t="s">
        <v>30</v>
      </c>
      <c r="E9" s="45" t="s">
        <v>31</v>
      </c>
      <c r="F9" s="16" t="s">
        <v>21</v>
      </c>
      <c r="G9" s="19"/>
      <c r="H9" s="26" t="s">
        <v>44</v>
      </c>
      <c r="I9" s="11" t="s">
        <v>45</v>
      </c>
      <c r="J9" s="54" t="s">
        <v>25</v>
      </c>
      <c r="K9" s="60">
        <v>45677</v>
      </c>
      <c r="L9" s="61">
        <v>144</v>
      </c>
      <c r="M9" s="31">
        <f t="shared" si="0"/>
        <v>144</v>
      </c>
      <c r="N9" s="29" t="s">
        <v>27</v>
      </c>
      <c r="O9" s="26"/>
    </row>
    <row r="10" spans="1:15">
      <c r="A10" s="19"/>
      <c r="B10" s="20"/>
      <c r="C10" s="21"/>
      <c r="D10" s="46"/>
      <c r="E10" s="46"/>
      <c r="F10" s="19"/>
      <c r="G10" s="19"/>
      <c r="H10" s="26" t="s">
        <v>46</v>
      </c>
      <c r="I10" s="11" t="s">
        <v>47</v>
      </c>
      <c r="J10" s="54" t="s">
        <v>25</v>
      </c>
      <c r="K10" s="54" t="s">
        <v>48</v>
      </c>
      <c r="L10" s="61">
        <v>420</v>
      </c>
      <c r="M10" s="31">
        <f t="shared" si="0"/>
        <v>420</v>
      </c>
      <c r="N10" s="29" t="s">
        <v>27</v>
      </c>
      <c r="O10" s="26"/>
    </row>
    <row r="11" spans="1:15">
      <c r="A11" s="22"/>
      <c r="B11" s="23"/>
      <c r="C11" s="24"/>
      <c r="D11" s="47"/>
      <c r="E11" s="47"/>
      <c r="F11" s="22"/>
      <c r="G11" s="19"/>
      <c r="H11" s="26" t="s">
        <v>49</v>
      </c>
      <c r="I11" s="11" t="s">
        <v>50</v>
      </c>
      <c r="J11" s="54" t="s">
        <v>25</v>
      </c>
      <c r="K11" s="60">
        <v>45679</v>
      </c>
      <c r="L11" s="61">
        <v>1440</v>
      </c>
      <c r="M11" s="31">
        <f t="shared" si="0"/>
        <v>1440</v>
      </c>
      <c r="N11" s="29" t="s">
        <v>27</v>
      </c>
      <c r="O11" s="26"/>
    </row>
    <row r="12" spans="1:15">
      <c r="A12" s="11">
        <v>8</v>
      </c>
      <c r="B12" s="12">
        <v>45680</v>
      </c>
      <c r="C12" s="15" t="s">
        <v>51</v>
      </c>
      <c r="D12" s="44" t="s">
        <v>30</v>
      </c>
      <c r="E12" s="44" t="s">
        <v>31</v>
      </c>
      <c r="F12" s="11" t="s">
        <v>21</v>
      </c>
      <c r="G12" s="19"/>
      <c r="H12" s="26" t="s">
        <v>52</v>
      </c>
      <c r="I12" s="11" t="s">
        <v>53</v>
      </c>
      <c r="J12" s="54" t="s">
        <v>25</v>
      </c>
      <c r="K12" s="60">
        <v>45689</v>
      </c>
      <c r="L12" s="29">
        <v>1200</v>
      </c>
      <c r="M12" s="29">
        <v>1200</v>
      </c>
      <c r="N12" s="29" t="s">
        <v>27</v>
      </c>
      <c r="O12" s="26"/>
    </row>
    <row r="13" spans="1:15">
      <c r="A13" s="11">
        <v>9</v>
      </c>
      <c r="B13" s="12">
        <v>45680</v>
      </c>
      <c r="C13" s="15" t="s">
        <v>230</v>
      </c>
      <c r="D13" s="44" t="s">
        <v>30</v>
      </c>
      <c r="E13" s="44" t="s">
        <v>31</v>
      </c>
      <c r="F13" s="11" t="s">
        <v>21</v>
      </c>
      <c r="G13" s="19"/>
      <c r="H13" s="26" t="s">
        <v>231</v>
      </c>
      <c r="I13" s="11" t="s">
        <v>232</v>
      </c>
      <c r="J13" s="54" t="s">
        <v>25</v>
      </c>
      <c r="K13" s="60" t="s">
        <v>233</v>
      </c>
      <c r="L13" s="29">
        <v>6000</v>
      </c>
      <c r="M13" s="29">
        <v>6000</v>
      </c>
      <c r="N13" s="29" t="s">
        <v>27</v>
      </c>
      <c r="O13" s="26"/>
    </row>
    <row r="14" spans="1:15">
      <c r="A14" s="11">
        <v>10</v>
      </c>
      <c r="B14" s="12">
        <v>45715</v>
      </c>
      <c r="C14" s="15" t="s">
        <v>54</v>
      </c>
      <c r="D14" s="44" t="s">
        <v>30</v>
      </c>
      <c r="E14" s="44" t="s">
        <v>31</v>
      </c>
      <c r="F14" s="11" t="s">
        <v>21</v>
      </c>
      <c r="G14" s="19"/>
      <c r="H14" s="26"/>
      <c r="I14" s="11"/>
      <c r="J14" s="11"/>
      <c r="K14" s="11"/>
      <c r="L14" s="30">
        <v>128640</v>
      </c>
      <c r="M14" s="30">
        <v>128640</v>
      </c>
      <c r="N14" s="29" t="s">
        <v>27</v>
      </c>
      <c r="O14" s="26"/>
    </row>
    <row r="15" spans="1:15">
      <c r="A15" s="11">
        <v>11</v>
      </c>
      <c r="B15" s="12">
        <v>45715</v>
      </c>
      <c r="C15" s="15" t="s">
        <v>55</v>
      </c>
      <c r="D15" s="44" t="s">
        <v>30</v>
      </c>
      <c r="E15" s="44" t="s">
        <v>31</v>
      </c>
      <c r="F15" s="11" t="s">
        <v>21</v>
      </c>
      <c r="G15" s="19"/>
      <c r="H15" s="26"/>
      <c r="I15" s="11"/>
      <c r="J15" s="11"/>
      <c r="K15" s="11"/>
      <c r="L15" s="30">
        <v>275880</v>
      </c>
      <c r="M15" s="30">
        <v>275880</v>
      </c>
      <c r="N15" s="29" t="s">
        <v>27</v>
      </c>
      <c r="O15" s="26"/>
    </row>
    <row r="16" ht="14.5" customHeight="1" spans="1:15">
      <c r="A16" s="11">
        <v>12</v>
      </c>
      <c r="B16" s="12">
        <v>45551</v>
      </c>
      <c r="C16" s="13" t="s">
        <v>60</v>
      </c>
      <c r="D16" s="43" t="s">
        <v>19</v>
      </c>
      <c r="E16" s="43" t="s">
        <v>20</v>
      </c>
      <c r="F16" s="11" t="s">
        <v>21</v>
      </c>
      <c r="G16" s="16" t="s">
        <v>61</v>
      </c>
      <c r="H16" s="26" t="s">
        <v>62</v>
      </c>
      <c r="I16" s="11" t="s">
        <v>63</v>
      </c>
      <c r="J16" s="11" t="s">
        <v>39</v>
      </c>
      <c r="K16" s="11"/>
      <c r="L16" s="30">
        <v>169300</v>
      </c>
      <c r="M16" s="30">
        <f>L16*0.4</f>
        <v>67720</v>
      </c>
      <c r="N16" s="66" t="s">
        <v>64</v>
      </c>
      <c r="O16" s="26" t="s">
        <v>65</v>
      </c>
    </row>
    <row r="17" ht="13" customHeight="1" spans="1:15">
      <c r="A17" s="11">
        <v>13</v>
      </c>
      <c r="B17" s="12">
        <v>45551</v>
      </c>
      <c r="C17" s="13" t="s">
        <v>66</v>
      </c>
      <c r="D17" s="43" t="s">
        <v>19</v>
      </c>
      <c r="E17" s="43" t="s">
        <v>20</v>
      </c>
      <c r="F17" s="11" t="s">
        <v>21</v>
      </c>
      <c r="G17" s="19"/>
      <c r="H17" s="26" t="s">
        <v>67</v>
      </c>
      <c r="I17" s="11" t="s">
        <v>68</v>
      </c>
      <c r="J17" s="11" t="s">
        <v>39</v>
      </c>
      <c r="K17" s="11"/>
      <c r="L17" s="30">
        <v>395692.4</v>
      </c>
      <c r="M17" s="30">
        <f>395692.4*0.4</f>
        <v>158276.96</v>
      </c>
      <c r="N17" s="66" t="s">
        <v>64</v>
      </c>
      <c r="O17" s="26" t="s">
        <v>65</v>
      </c>
    </row>
    <row r="18" ht="13" customHeight="1" spans="1:15">
      <c r="A18" s="11">
        <v>14</v>
      </c>
      <c r="B18" s="12">
        <v>45551</v>
      </c>
      <c r="C18" s="13" t="s">
        <v>69</v>
      </c>
      <c r="D18" s="43" t="s">
        <v>19</v>
      </c>
      <c r="E18" s="43" t="s">
        <v>20</v>
      </c>
      <c r="F18" s="11" t="s">
        <v>21</v>
      </c>
      <c r="G18" s="19"/>
      <c r="H18" s="26" t="s">
        <v>70</v>
      </c>
      <c r="I18" s="11" t="s">
        <v>71</v>
      </c>
      <c r="J18" s="11" t="s">
        <v>39</v>
      </c>
      <c r="K18" s="11"/>
      <c r="L18" s="31">
        <v>51700</v>
      </c>
      <c r="M18" s="31">
        <v>51700</v>
      </c>
      <c r="N18" s="67" t="s">
        <v>64</v>
      </c>
      <c r="O18" s="26" t="s">
        <v>72</v>
      </c>
    </row>
    <row r="19" spans="1:15">
      <c r="A19" s="11">
        <v>15</v>
      </c>
      <c r="B19" s="12">
        <v>45252</v>
      </c>
      <c r="C19" s="13" t="s">
        <v>73</v>
      </c>
      <c r="D19" s="43" t="s">
        <v>19</v>
      </c>
      <c r="E19" s="43" t="s">
        <v>74</v>
      </c>
      <c r="F19" s="11" t="s">
        <v>41</v>
      </c>
      <c r="G19" s="19"/>
      <c r="H19" s="26"/>
      <c r="I19" s="11"/>
      <c r="J19" s="11"/>
      <c r="K19" s="11"/>
      <c r="L19" s="29"/>
      <c r="M19" s="29"/>
      <c r="N19" s="29" t="s">
        <v>27</v>
      </c>
      <c r="O19" s="26"/>
    </row>
    <row r="20" spans="1:15">
      <c r="A20" s="11">
        <v>16</v>
      </c>
      <c r="B20" s="12">
        <v>45252</v>
      </c>
      <c r="C20" s="13" t="s">
        <v>75</v>
      </c>
      <c r="D20" s="43" t="s">
        <v>19</v>
      </c>
      <c r="E20" s="43" t="s">
        <v>20</v>
      </c>
      <c r="F20" s="11" t="s">
        <v>21</v>
      </c>
      <c r="G20" s="19"/>
      <c r="H20" s="26" t="s">
        <v>76</v>
      </c>
      <c r="I20" s="11" t="s">
        <v>77</v>
      </c>
      <c r="J20" s="11" t="s">
        <v>39</v>
      </c>
      <c r="K20" s="11"/>
      <c r="L20" s="29">
        <v>60010</v>
      </c>
      <c r="M20" s="29">
        <v>60010</v>
      </c>
      <c r="N20" s="29" t="s">
        <v>27</v>
      </c>
      <c r="O20" s="26"/>
    </row>
    <row r="21" spans="1:15">
      <c r="A21" s="11">
        <v>17</v>
      </c>
      <c r="B21" s="12">
        <v>45594</v>
      </c>
      <c r="C21" s="13" t="s">
        <v>234</v>
      </c>
      <c r="D21" s="43" t="s">
        <v>19</v>
      </c>
      <c r="E21" s="43" t="s">
        <v>235</v>
      </c>
      <c r="F21" s="11" t="s">
        <v>41</v>
      </c>
      <c r="G21" s="19"/>
      <c r="H21" s="26"/>
      <c r="I21" s="11"/>
      <c r="J21" s="11"/>
      <c r="K21" s="11"/>
      <c r="L21" s="29"/>
      <c r="M21" s="29"/>
      <c r="N21" s="68" t="s">
        <v>64</v>
      </c>
      <c r="O21" s="34"/>
    </row>
    <row r="22" spans="1:15">
      <c r="A22" s="11">
        <v>18</v>
      </c>
      <c r="B22" s="12">
        <v>45610</v>
      </c>
      <c r="C22" s="13" t="s">
        <v>78</v>
      </c>
      <c r="D22" s="43" t="s">
        <v>19</v>
      </c>
      <c r="E22" s="43" t="s">
        <v>79</v>
      </c>
      <c r="F22" s="11" t="s">
        <v>41</v>
      </c>
      <c r="G22" s="19"/>
      <c r="H22" s="26"/>
      <c r="I22" s="11"/>
      <c r="J22" s="11"/>
      <c r="K22" s="11"/>
      <c r="L22" s="29"/>
      <c r="M22" s="29"/>
      <c r="N22" s="29" t="s">
        <v>27</v>
      </c>
      <c r="O22" s="34"/>
    </row>
    <row r="23" s="41" customFormat="1" spans="1:15">
      <c r="A23" s="11">
        <v>19</v>
      </c>
      <c r="B23" s="48">
        <v>45593</v>
      </c>
      <c r="C23" s="49" t="s">
        <v>80</v>
      </c>
      <c r="D23" s="50" t="s">
        <v>19</v>
      </c>
      <c r="E23" s="50" t="s">
        <v>20</v>
      </c>
      <c r="F23" s="55" t="s">
        <v>21</v>
      </c>
      <c r="G23" s="19"/>
      <c r="H23" s="56" t="s">
        <v>81</v>
      </c>
      <c r="I23" s="62" t="s">
        <v>82</v>
      </c>
      <c r="J23" s="62" t="s">
        <v>25</v>
      </c>
      <c r="K23" s="60">
        <v>45680</v>
      </c>
      <c r="L23" s="63">
        <v>69328.34</v>
      </c>
      <c r="M23" s="63">
        <f>L23*0.4</f>
        <v>27731.336</v>
      </c>
      <c r="N23" s="68" t="s">
        <v>64</v>
      </c>
      <c r="O23" s="59" t="s">
        <v>65</v>
      </c>
    </row>
    <row r="24" spans="1:15">
      <c r="A24" s="11">
        <v>20</v>
      </c>
      <c r="B24" s="12">
        <v>45664</v>
      </c>
      <c r="C24" s="13" t="s">
        <v>83</v>
      </c>
      <c r="D24" s="43" t="s">
        <v>19</v>
      </c>
      <c r="E24" s="43" t="s">
        <v>20</v>
      </c>
      <c r="F24" s="11" t="s">
        <v>41</v>
      </c>
      <c r="G24" s="19"/>
      <c r="H24" s="26"/>
      <c r="I24" s="11"/>
      <c r="J24" s="11"/>
      <c r="K24" s="11"/>
      <c r="L24" s="29"/>
      <c r="M24" s="29"/>
      <c r="N24" s="68" t="s">
        <v>64</v>
      </c>
      <c r="O24" s="34"/>
    </row>
    <row r="25" spans="1:15">
      <c r="A25" s="11">
        <v>21</v>
      </c>
      <c r="B25" s="12">
        <v>45670</v>
      </c>
      <c r="C25" s="13" t="s">
        <v>84</v>
      </c>
      <c r="D25" s="43" t="s">
        <v>19</v>
      </c>
      <c r="E25" s="43" t="s">
        <v>20</v>
      </c>
      <c r="F25" s="11" t="s">
        <v>41</v>
      </c>
      <c r="G25" s="19"/>
      <c r="H25" s="26"/>
      <c r="I25" s="11"/>
      <c r="J25" s="11"/>
      <c r="K25" s="11"/>
      <c r="L25" s="29"/>
      <c r="M25" s="29"/>
      <c r="N25" s="68" t="s">
        <v>64</v>
      </c>
      <c r="O25" s="34"/>
    </row>
    <row r="26" spans="1:15">
      <c r="A26" s="11">
        <v>22</v>
      </c>
      <c r="B26" s="12">
        <v>45671</v>
      </c>
      <c r="C26" s="13" t="s">
        <v>85</v>
      </c>
      <c r="D26" s="43" t="s">
        <v>19</v>
      </c>
      <c r="E26" s="43" t="s">
        <v>86</v>
      </c>
      <c r="F26" s="11" t="s">
        <v>21</v>
      </c>
      <c r="G26" s="19"/>
      <c r="H26" s="26" t="s">
        <v>87</v>
      </c>
      <c r="I26" s="62" t="s">
        <v>88</v>
      </c>
      <c r="J26" s="11" t="s">
        <v>39</v>
      </c>
      <c r="K26" s="11"/>
      <c r="L26" s="29">
        <v>522979</v>
      </c>
      <c r="M26" s="29">
        <v>522979</v>
      </c>
      <c r="N26" s="29" t="s">
        <v>27</v>
      </c>
      <c r="O26" s="34"/>
    </row>
    <row r="27" spans="1:15">
      <c r="A27" s="11">
        <v>23</v>
      </c>
      <c r="B27" s="12">
        <v>45695</v>
      </c>
      <c r="C27" s="13" t="s">
        <v>89</v>
      </c>
      <c r="D27" s="43" t="s">
        <v>19</v>
      </c>
      <c r="E27" s="43" t="s">
        <v>74</v>
      </c>
      <c r="F27" s="11" t="s">
        <v>41</v>
      </c>
      <c r="G27" s="19"/>
      <c r="H27" s="26"/>
      <c r="I27" s="11"/>
      <c r="J27" s="11"/>
      <c r="K27" s="11"/>
      <c r="L27" s="29"/>
      <c r="M27" s="29"/>
      <c r="N27" s="29" t="s">
        <v>27</v>
      </c>
      <c r="O27" s="34"/>
    </row>
    <row r="28" spans="1:15">
      <c r="A28" s="11">
        <v>24</v>
      </c>
      <c r="B28" s="12">
        <v>45708</v>
      </c>
      <c r="C28" s="13" t="s">
        <v>90</v>
      </c>
      <c r="D28" s="43" t="s">
        <v>19</v>
      </c>
      <c r="E28" s="43" t="s">
        <v>91</v>
      </c>
      <c r="F28" s="11" t="s">
        <v>41</v>
      </c>
      <c r="G28" s="19"/>
      <c r="H28" s="26"/>
      <c r="I28" s="11"/>
      <c r="J28" s="11"/>
      <c r="K28" s="11"/>
      <c r="L28" s="29"/>
      <c r="M28" s="29"/>
      <c r="N28" s="29" t="s">
        <v>27</v>
      </c>
      <c r="O28" s="34"/>
    </row>
    <row r="29" spans="1:15">
      <c r="A29" s="11">
        <v>25</v>
      </c>
      <c r="B29" s="12">
        <v>45714</v>
      </c>
      <c r="C29" s="13" t="s">
        <v>92</v>
      </c>
      <c r="D29" s="43" t="s">
        <v>19</v>
      </c>
      <c r="E29" s="43" t="s">
        <v>20</v>
      </c>
      <c r="F29" s="11" t="s">
        <v>41</v>
      </c>
      <c r="G29" s="19"/>
      <c r="H29" s="26"/>
      <c r="I29" s="11"/>
      <c r="J29" s="11"/>
      <c r="K29" s="11"/>
      <c r="L29" s="29"/>
      <c r="M29" s="29"/>
      <c r="N29" s="29" t="s">
        <v>27</v>
      </c>
      <c r="O29" s="34"/>
    </row>
    <row r="30" ht="12.5" customHeight="1" spans="1:15">
      <c r="A30" s="11">
        <v>27</v>
      </c>
      <c r="B30" s="12">
        <v>45573</v>
      </c>
      <c r="C30" s="13" t="s">
        <v>95</v>
      </c>
      <c r="D30" s="43" t="s">
        <v>19</v>
      </c>
      <c r="E30" s="43" t="s">
        <v>20</v>
      </c>
      <c r="F30" s="54" t="s">
        <v>96</v>
      </c>
      <c r="G30" s="16" t="s">
        <v>97</v>
      </c>
      <c r="H30" s="26"/>
      <c r="I30" s="11"/>
      <c r="J30" s="11"/>
      <c r="K30" s="11"/>
      <c r="L30" s="29"/>
      <c r="M30" s="29"/>
      <c r="N30" s="29" t="s">
        <v>27</v>
      </c>
      <c r="O30" s="26"/>
    </row>
    <row r="31" s="42" customFormat="1" ht="12.5" customHeight="1" spans="1:15">
      <c r="A31" s="11">
        <v>28</v>
      </c>
      <c r="B31" s="51">
        <v>45463</v>
      </c>
      <c r="C31" s="52" t="s">
        <v>99</v>
      </c>
      <c r="D31" s="53" t="s">
        <v>19</v>
      </c>
      <c r="E31" s="53" t="s">
        <v>20</v>
      </c>
      <c r="F31" s="57" t="s">
        <v>21</v>
      </c>
      <c r="G31" s="58"/>
      <c r="H31" s="59" t="s">
        <v>100</v>
      </c>
      <c r="I31" s="64" t="s">
        <v>101</v>
      </c>
      <c r="J31" s="64" t="s">
        <v>102</v>
      </c>
      <c r="K31" s="57"/>
      <c r="L31" s="65">
        <v>123908.39</v>
      </c>
      <c r="M31" s="65">
        <f>L31*0.5</f>
        <v>61954.195</v>
      </c>
      <c r="N31" s="68" t="s">
        <v>64</v>
      </c>
      <c r="O31" s="59" t="s">
        <v>98</v>
      </c>
    </row>
    <row r="32" ht="12.5" customHeight="1" spans="1:15">
      <c r="A32" s="11">
        <v>29</v>
      </c>
      <c r="B32" s="12">
        <v>45579</v>
      </c>
      <c r="C32" s="13" t="s">
        <v>103</v>
      </c>
      <c r="D32" s="43" t="s">
        <v>19</v>
      </c>
      <c r="E32" s="43" t="s">
        <v>20</v>
      </c>
      <c r="F32" s="11" t="s">
        <v>21</v>
      </c>
      <c r="G32" s="19"/>
      <c r="H32" s="26" t="s">
        <v>104</v>
      </c>
      <c r="I32" s="54"/>
      <c r="J32" s="54" t="s">
        <v>136</v>
      </c>
      <c r="K32" s="11"/>
      <c r="L32" s="29">
        <v>35390.83</v>
      </c>
      <c r="M32" s="29">
        <f>L32</f>
        <v>35390.83</v>
      </c>
      <c r="N32" s="29" t="s">
        <v>27</v>
      </c>
      <c r="O32" s="26"/>
    </row>
    <row r="33" ht="12.5" customHeight="1" spans="1:15">
      <c r="A33" s="11">
        <v>30</v>
      </c>
      <c r="B33" s="12">
        <v>45579</v>
      </c>
      <c r="C33" s="13" t="s">
        <v>107</v>
      </c>
      <c r="D33" s="43" t="s">
        <v>19</v>
      </c>
      <c r="E33" s="43" t="s">
        <v>20</v>
      </c>
      <c r="F33" s="11" t="s">
        <v>21</v>
      </c>
      <c r="G33" s="19"/>
      <c r="H33" s="26"/>
      <c r="I33" s="11"/>
      <c r="J33" s="11"/>
      <c r="K33" s="11"/>
      <c r="L33" s="29"/>
      <c r="M33" s="29"/>
      <c r="N33" s="29" t="s">
        <v>27</v>
      </c>
      <c r="O33" s="26"/>
    </row>
    <row r="34" ht="12.5" customHeight="1" spans="1:15">
      <c r="A34" s="11">
        <v>31</v>
      </c>
      <c r="B34" s="12">
        <v>45615</v>
      </c>
      <c r="C34" s="13" t="s">
        <v>109</v>
      </c>
      <c r="D34" s="43" t="s">
        <v>19</v>
      </c>
      <c r="E34" s="43" t="s">
        <v>20</v>
      </c>
      <c r="F34" s="54" t="s">
        <v>21</v>
      </c>
      <c r="G34" s="19"/>
      <c r="H34" s="26" t="s">
        <v>110</v>
      </c>
      <c r="I34" s="64" t="s">
        <v>111</v>
      </c>
      <c r="J34" s="54" t="s">
        <v>39</v>
      </c>
      <c r="K34" s="11"/>
      <c r="L34" s="29">
        <v>32300</v>
      </c>
      <c r="M34" s="29">
        <f>L34*0.5</f>
        <v>16150</v>
      </c>
      <c r="N34" s="68" t="s">
        <v>64</v>
      </c>
      <c r="O34" s="26" t="s">
        <v>98</v>
      </c>
    </row>
    <row r="35" ht="12.5" customHeight="1" spans="1:15">
      <c r="A35" s="11">
        <v>32</v>
      </c>
      <c r="B35" s="12">
        <v>45611</v>
      </c>
      <c r="C35" s="13" t="s">
        <v>112</v>
      </c>
      <c r="D35" s="43" t="s">
        <v>19</v>
      </c>
      <c r="E35" s="43" t="s">
        <v>20</v>
      </c>
      <c r="F35" s="11" t="s">
        <v>41</v>
      </c>
      <c r="G35" s="19"/>
      <c r="H35" s="26"/>
      <c r="I35" s="11"/>
      <c r="J35" s="11"/>
      <c r="K35" s="11"/>
      <c r="L35" s="29"/>
      <c r="M35" s="29"/>
      <c r="N35" s="29" t="s">
        <v>27</v>
      </c>
      <c r="O35" s="26"/>
    </row>
    <row r="36" ht="12.5" customHeight="1" spans="1:15">
      <c r="A36" s="11">
        <v>33</v>
      </c>
      <c r="B36" s="12">
        <v>45670</v>
      </c>
      <c r="C36" s="13" t="s">
        <v>113</v>
      </c>
      <c r="D36" s="43" t="s">
        <v>19</v>
      </c>
      <c r="E36" s="43" t="s">
        <v>20</v>
      </c>
      <c r="F36" s="11" t="s">
        <v>21</v>
      </c>
      <c r="G36" s="19"/>
      <c r="H36" s="26" t="s">
        <v>114</v>
      </c>
      <c r="I36" s="11" t="s">
        <v>115</v>
      </c>
      <c r="J36" s="54" t="s">
        <v>25</v>
      </c>
      <c r="K36" s="54" t="s">
        <v>116</v>
      </c>
      <c r="L36" s="29">
        <v>4893</v>
      </c>
      <c r="M36" s="29">
        <v>4893</v>
      </c>
      <c r="N36" s="29" t="s">
        <v>27</v>
      </c>
      <c r="O36" s="26"/>
    </row>
    <row r="37" ht="12.5" customHeight="1" spans="1:15">
      <c r="A37" s="11">
        <v>34</v>
      </c>
      <c r="B37" s="12">
        <v>45701</v>
      </c>
      <c r="C37" s="13" t="s">
        <v>117</v>
      </c>
      <c r="D37" s="43" t="s">
        <v>19</v>
      </c>
      <c r="E37" s="43" t="s">
        <v>20</v>
      </c>
      <c r="F37" s="54" t="s">
        <v>41</v>
      </c>
      <c r="G37" s="19"/>
      <c r="H37" s="26"/>
      <c r="I37" s="11"/>
      <c r="J37" s="11"/>
      <c r="K37" s="11"/>
      <c r="L37" s="29"/>
      <c r="M37" s="29"/>
      <c r="N37" s="29" t="s">
        <v>27</v>
      </c>
      <c r="O37" s="26"/>
    </row>
    <row r="38" ht="12.5" customHeight="1" spans="1:15">
      <c r="A38" s="11">
        <v>35</v>
      </c>
      <c r="B38" s="12">
        <v>45708</v>
      </c>
      <c r="C38" s="13" t="s">
        <v>118</v>
      </c>
      <c r="D38" s="43" t="s">
        <v>19</v>
      </c>
      <c r="E38" s="43" t="s">
        <v>119</v>
      </c>
      <c r="F38" s="54" t="s">
        <v>41</v>
      </c>
      <c r="G38" s="19"/>
      <c r="H38" s="26"/>
      <c r="I38" s="11"/>
      <c r="J38" s="11"/>
      <c r="K38" s="11"/>
      <c r="L38" s="29"/>
      <c r="M38" s="29"/>
      <c r="N38" s="29" t="s">
        <v>27</v>
      </c>
      <c r="O38" s="26"/>
    </row>
    <row r="39" ht="12.5" customHeight="1" spans="1:15">
      <c r="A39" s="11">
        <v>36</v>
      </c>
      <c r="B39" s="12">
        <v>45711</v>
      </c>
      <c r="C39" s="13" t="s">
        <v>120</v>
      </c>
      <c r="D39" s="43" t="s">
        <v>19</v>
      </c>
      <c r="E39" s="43" t="s">
        <v>20</v>
      </c>
      <c r="F39" s="54" t="s">
        <v>41</v>
      </c>
      <c r="G39" s="19"/>
      <c r="H39" s="26"/>
      <c r="I39" s="11"/>
      <c r="J39" s="11"/>
      <c r="K39" s="11"/>
      <c r="L39" s="29"/>
      <c r="M39" s="29"/>
      <c r="N39" s="29" t="s">
        <v>27</v>
      </c>
      <c r="O39" s="26"/>
    </row>
    <row r="40" spans="1:15">
      <c r="A40" s="11">
        <v>37</v>
      </c>
      <c r="B40" s="12">
        <v>45568</v>
      </c>
      <c r="C40" s="13" t="s">
        <v>124</v>
      </c>
      <c r="D40" s="43" t="s">
        <v>19</v>
      </c>
      <c r="E40" s="43" t="s">
        <v>20</v>
      </c>
      <c r="F40" s="11" t="s">
        <v>21</v>
      </c>
      <c r="G40" s="16" t="s">
        <v>125</v>
      </c>
      <c r="H40" s="26" t="s">
        <v>126</v>
      </c>
      <c r="I40" s="11" t="s">
        <v>127</v>
      </c>
      <c r="J40" s="11" t="s">
        <v>106</v>
      </c>
      <c r="K40" s="11"/>
      <c r="L40" s="29">
        <v>565636.2</v>
      </c>
      <c r="M40" s="29">
        <v>565636.2</v>
      </c>
      <c r="N40" s="29" t="s">
        <v>27</v>
      </c>
      <c r="O40" s="26"/>
    </row>
    <row r="41" spans="1:15">
      <c r="A41" s="11">
        <v>38</v>
      </c>
      <c r="B41" s="12">
        <v>45568</v>
      </c>
      <c r="C41" s="13" t="s">
        <v>128</v>
      </c>
      <c r="D41" s="43" t="s">
        <v>19</v>
      </c>
      <c r="E41" s="43" t="s">
        <v>20</v>
      </c>
      <c r="F41" s="11" t="s">
        <v>21</v>
      </c>
      <c r="G41" s="19"/>
      <c r="H41" s="26" t="s">
        <v>129</v>
      </c>
      <c r="I41" s="11" t="s">
        <v>130</v>
      </c>
      <c r="J41" s="11" t="s">
        <v>106</v>
      </c>
      <c r="K41" s="11"/>
      <c r="L41" s="29">
        <v>187244.18</v>
      </c>
      <c r="M41" s="29">
        <v>187244.18</v>
      </c>
      <c r="N41" s="29" t="s">
        <v>27</v>
      </c>
      <c r="O41" s="26"/>
    </row>
    <row r="42" spans="1:15">
      <c r="A42" s="11">
        <v>39</v>
      </c>
      <c r="B42" s="12">
        <v>45568</v>
      </c>
      <c r="C42" s="13" t="s">
        <v>132</v>
      </c>
      <c r="D42" s="43" t="s">
        <v>19</v>
      </c>
      <c r="E42" s="43" t="s">
        <v>20</v>
      </c>
      <c r="F42" s="11" t="s">
        <v>21</v>
      </c>
      <c r="G42" s="19"/>
      <c r="H42" s="26" t="s">
        <v>133</v>
      </c>
      <c r="I42" s="11"/>
      <c r="J42" s="11" t="s">
        <v>33</v>
      </c>
      <c r="K42" s="11"/>
      <c r="L42" s="29">
        <v>997529.4</v>
      </c>
      <c r="M42" s="29">
        <v>997529.4</v>
      </c>
      <c r="N42" s="29" t="s">
        <v>27</v>
      </c>
      <c r="O42" s="26"/>
    </row>
    <row r="43" spans="1:15">
      <c r="A43" s="11">
        <v>40</v>
      </c>
      <c r="B43" s="12">
        <v>45568</v>
      </c>
      <c r="C43" s="13" t="s">
        <v>134</v>
      </c>
      <c r="D43" s="43" t="s">
        <v>19</v>
      </c>
      <c r="E43" s="43" t="s">
        <v>20</v>
      </c>
      <c r="F43" s="11" t="s">
        <v>21</v>
      </c>
      <c r="G43" s="22"/>
      <c r="H43" s="26"/>
      <c r="I43" s="11"/>
      <c r="J43" s="11" t="s">
        <v>33</v>
      </c>
      <c r="K43" s="11"/>
      <c r="L43" s="29">
        <v>443853.15</v>
      </c>
      <c r="M43" s="29">
        <v>443853.15</v>
      </c>
      <c r="N43" s="29" t="s">
        <v>27</v>
      </c>
      <c r="O43" s="26"/>
    </row>
    <row r="44" ht="14.5" customHeight="1" spans="1:15">
      <c r="A44" s="11">
        <v>41</v>
      </c>
      <c r="B44" s="12">
        <v>45544</v>
      </c>
      <c r="C44" s="13" t="s">
        <v>137</v>
      </c>
      <c r="D44" s="43" t="s">
        <v>19</v>
      </c>
      <c r="E44" s="43" t="s">
        <v>20</v>
      </c>
      <c r="F44" s="11" t="s">
        <v>138</v>
      </c>
      <c r="G44" s="16" t="s">
        <v>139</v>
      </c>
      <c r="H44" s="26"/>
      <c r="I44" s="11"/>
      <c r="J44" s="11"/>
      <c r="K44" s="11"/>
      <c r="L44" s="29"/>
      <c r="M44" s="29"/>
      <c r="N44" s="29" t="s">
        <v>27</v>
      </c>
      <c r="O44" s="26"/>
    </row>
    <row r="45" spans="1:15">
      <c r="A45" s="11">
        <v>42</v>
      </c>
      <c r="B45" s="12">
        <v>45576</v>
      </c>
      <c r="C45" s="13" t="s">
        <v>140</v>
      </c>
      <c r="D45" s="43" t="s">
        <v>19</v>
      </c>
      <c r="E45" s="43" t="s">
        <v>20</v>
      </c>
      <c r="F45" s="11" t="s">
        <v>21</v>
      </c>
      <c r="G45" s="19"/>
      <c r="H45" s="26" t="s">
        <v>141</v>
      </c>
      <c r="I45" s="11" t="s">
        <v>142</v>
      </c>
      <c r="J45" s="54" t="s">
        <v>25</v>
      </c>
      <c r="K45" s="54" t="s">
        <v>143</v>
      </c>
      <c r="L45" s="29">
        <v>115425</v>
      </c>
      <c r="M45" s="29">
        <v>115425</v>
      </c>
      <c r="N45" s="29" t="s">
        <v>27</v>
      </c>
      <c r="O45" s="26"/>
    </row>
    <row r="46" spans="1:15">
      <c r="A46" s="11">
        <v>43</v>
      </c>
      <c r="B46" s="12">
        <v>45576</v>
      </c>
      <c r="C46" s="13" t="s">
        <v>144</v>
      </c>
      <c r="D46" s="43" t="s">
        <v>19</v>
      </c>
      <c r="E46" s="43" t="s">
        <v>79</v>
      </c>
      <c r="F46" s="11" t="s">
        <v>21</v>
      </c>
      <c r="G46" s="19"/>
      <c r="H46" s="26" t="s">
        <v>145</v>
      </c>
      <c r="I46" s="11" t="s">
        <v>146</v>
      </c>
      <c r="J46" s="11" t="s">
        <v>106</v>
      </c>
      <c r="K46" s="11"/>
      <c r="L46" s="29">
        <v>420300</v>
      </c>
      <c r="M46" s="29">
        <v>420300</v>
      </c>
      <c r="N46" s="29" t="s">
        <v>27</v>
      </c>
      <c r="O46" s="26"/>
    </row>
    <row r="47" spans="1:16">
      <c r="A47" s="11">
        <v>44</v>
      </c>
      <c r="B47" s="12">
        <v>45576</v>
      </c>
      <c r="C47" s="13" t="s">
        <v>147</v>
      </c>
      <c r="D47" s="43" t="s">
        <v>19</v>
      </c>
      <c r="E47" s="43" t="s">
        <v>20</v>
      </c>
      <c r="F47" s="11" t="s">
        <v>41</v>
      </c>
      <c r="G47" s="19"/>
      <c r="H47" s="26"/>
      <c r="I47" s="11"/>
      <c r="J47" s="11"/>
      <c r="K47" s="11"/>
      <c r="L47" s="29"/>
      <c r="M47" s="29"/>
      <c r="N47" s="29" t="s">
        <v>27</v>
      </c>
      <c r="O47" s="26"/>
      <c r="P47" s="36"/>
    </row>
    <row r="48" spans="1:15">
      <c r="A48" s="11">
        <v>45</v>
      </c>
      <c r="B48" s="12">
        <v>45594</v>
      </c>
      <c r="C48" s="13" t="s">
        <v>148</v>
      </c>
      <c r="D48" s="43" t="s">
        <v>19</v>
      </c>
      <c r="E48" s="43" t="s">
        <v>79</v>
      </c>
      <c r="F48" s="11" t="s">
        <v>21</v>
      </c>
      <c r="G48" s="19"/>
      <c r="H48" s="26" t="s">
        <v>149</v>
      </c>
      <c r="I48" s="11" t="s">
        <v>150</v>
      </c>
      <c r="J48" s="11" t="s">
        <v>106</v>
      </c>
      <c r="K48" s="11"/>
      <c r="L48" s="29">
        <v>101650</v>
      </c>
      <c r="M48" s="29">
        <v>101650</v>
      </c>
      <c r="N48" s="29" t="s">
        <v>27</v>
      </c>
      <c r="O48" s="26"/>
    </row>
    <row r="49" spans="1:15">
      <c r="A49" s="11">
        <v>46</v>
      </c>
      <c r="B49" s="12">
        <v>45601</v>
      </c>
      <c r="C49" s="13" t="s">
        <v>151</v>
      </c>
      <c r="D49" s="43" t="s">
        <v>19</v>
      </c>
      <c r="E49" s="43" t="s">
        <v>79</v>
      </c>
      <c r="F49" s="11" t="s">
        <v>21</v>
      </c>
      <c r="G49" s="19"/>
      <c r="H49" s="26" t="s">
        <v>152</v>
      </c>
      <c r="I49" s="11" t="s">
        <v>153</v>
      </c>
      <c r="J49" s="54" t="s">
        <v>25</v>
      </c>
      <c r="K49" s="54" t="s">
        <v>143</v>
      </c>
      <c r="L49" s="29">
        <v>36293</v>
      </c>
      <c r="M49" s="29">
        <v>36293</v>
      </c>
      <c r="N49" s="29" t="s">
        <v>27</v>
      </c>
      <c r="O49" s="26"/>
    </row>
    <row r="50" spans="1:15">
      <c r="A50" s="11">
        <v>47</v>
      </c>
      <c r="B50" s="12">
        <v>45602</v>
      </c>
      <c r="C50" s="13" t="s">
        <v>154</v>
      </c>
      <c r="D50" s="43" t="s">
        <v>19</v>
      </c>
      <c r="E50" s="43" t="s">
        <v>20</v>
      </c>
      <c r="F50" s="11" t="s">
        <v>21</v>
      </c>
      <c r="G50" s="19"/>
      <c r="H50" s="26" t="s">
        <v>155</v>
      </c>
      <c r="I50" s="11" t="s">
        <v>156</v>
      </c>
      <c r="J50" s="11" t="s">
        <v>106</v>
      </c>
      <c r="K50" s="11"/>
      <c r="L50" s="29">
        <v>47120</v>
      </c>
      <c r="M50" s="29">
        <v>47120</v>
      </c>
      <c r="N50" s="29" t="s">
        <v>27</v>
      </c>
      <c r="O50" s="26"/>
    </row>
    <row r="51" spans="1:15">
      <c r="A51" s="11">
        <v>48</v>
      </c>
      <c r="B51" s="12">
        <v>45645</v>
      </c>
      <c r="C51" s="13" t="s">
        <v>157</v>
      </c>
      <c r="D51" s="43" t="s">
        <v>19</v>
      </c>
      <c r="E51" s="43" t="s">
        <v>20</v>
      </c>
      <c r="F51" s="11" t="s">
        <v>41</v>
      </c>
      <c r="G51" s="19"/>
      <c r="H51" s="26"/>
      <c r="I51" s="11"/>
      <c r="J51" s="11"/>
      <c r="K51" s="11"/>
      <c r="L51" s="29"/>
      <c r="M51" s="29"/>
      <c r="N51" s="29" t="s">
        <v>27</v>
      </c>
      <c r="O51" s="26"/>
    </row>
    <row r="52" ht="13" customHeight="1" spans="1:15">
      <c r="A52" s="11">
        <v>49</v>
      </c>
      <c r="B52" s="12">
        <v>45646</v>
      </c>
      <c r="C52" s="13" t="s">
        <v>158</v>
      </c>
      <c r="D52" s="43" t="s">
        <v>19</v>
      </c>
      <c r="E52" s="43" t="s">
        <v>86</v>
      </c>
      <c r="F52" s="11" t="s">
        <v>21</v>
      </c>
      <c r="G52" s="19"/>
      <c r="H52" s="26" t="s">
        <v>159</v>
      </c>
      <c r="I52" s="11" t="s">
        <v>160</v>
      </c>
      <c r="J52" s="54" t="s">
        <v>106</v>
      </c>
      <c r="K52" s="11"/>
      <c r="L52" s="35">
        <v>2788150</v>
      </c>
      <c r="M52" s="29">
        <f>2788150/7*0.8</f>
        <v>318645.714285714</v>
      </c>
      <c r="N52" s="29" t="s">
        <v>161</v>
      </c>
      <c r="O52" s="26" t="s">
        <v>162</v>
      </c>
    </row>
    <row r="53" ht="13" customHeight="1" spans="1:15">
      <c r="A53" s="11">
        <v>50</v>
      </c>
      <c r="B53" s="12">
        <v>45698</v>
      </c>
      <c r="C53" s="13" t="s">
        <v>163</v>
      </c>
      <c r="D53" s="43" t="s">
        <v>19</v>
      </c>
      <c r="E53" s="43" t="s">
        <v>86</v>
      </c>
      <c r="F53" s="11" t="s">
        <v>41</v>
      </c>
      <c r="G53" s="19"/>
      <c r="H53" s="26"/>
      <c r="I53" s="11"/>
      <c r="J53" s="11"/>
      <c r="K53" s="11"/>
      <c r="L53" s="35"/>
      <c r="M53" s="29"/>
      <c r="N53" s="29" t="s">
        <v>27</v>
      </c>
      <c r="O53" s="26"/>
    </row>
    <row r="54" ht="13" customHeight="1" spans="1:15">
      <c r="A54" s="11">
        <v>51</v>
      </c>
      <c r="B54" s="12">
        <v>45698</v>
      </c>
      <c r="C54" s="13" t="s">
        <v>164</v>
      </c>
      <c r="D54" s="43" t="s">
        <v>19</v>
      </c>
      <c r="E54" s="43" t="s">
        <v>86</v>
      </c>
      <c r="F54" s="11" t="s">
        <v>41</v>
      </c>
      <c r="G54" s="19"/>
      <c r="H54" s="26"/>
      <c r="I54" s="11"/>
      <c r="J54" s="11"/>
      <c r="K54" s="11"/>
      <c r="L54" s="35"/>
      <c r="M54" s="29"/>
      <c r="N54" s="29" t="s">
        <v>27</v>
      </c>
      <c r="O54" s="26"/>
    </row>
    <row r="55" ht="13" customHeight="1" spans="1:15">
      <c r="A55" s="11">
        <v>52</v>
      </c>
      <c r="B55" s="12">
        <v>45698</v>
      </c>
      <c r="C55" s="13" t="s">
        <v>165</v>
      </c>
      <c r="D55" s="43" t="s">
        <v>19</v>
      </c>
      <c r="E55" s="43" t="s">
        <v>86</v>
      </c>
      <c r="F55" s="11" t="s">
        <v>41</v>
      </c>
      <c r="G55" s="19"/>
      <c r="H55" s="26"/>
      <c r="I55" s="11"/>
      <c r="J55" s="11"/>
      <c r="K55" s="11"/>
      <c r="L55" s="35"/>
      <c r="M55" s="29"/>
      <c r="N55" s="29" t="s">
        <v>27</v>
      </c>
      <c r="O55" s="26"/>
    </row>
    <row r="56" ht="13" customHeight="1" spans="1:15">
      <c r="A56" s="11">
        <v>53</v>
      </c>
      <c r="B56" s="12">
        <v>45698</v>
      </c>
      <c r="C56" s="13" t="s">
        <v>166</v>
      </c>
      <c r="D56" s="43" t="s">
        <v>19</v>
      </c>
      <c r="E56" s="43" t="s">
        <v>86</v>
      </c>
      <c r="F56" s="11" t="s">
        <v>21</v>
      </c>
      <c r="G56" s="19"/>
      <c r="H56" s="26" t="s">
        <v>167</v>
      </c>
      <c r="I56" s="11"/>
      <c r="J56" s="54" t="s">
        <v>136</v>
      </c>
      <c r="K56" s="11"/>
      <c r="L56" s="35">
        <v>2552450</v>
      </c>
      <c r="M56" s="29">
        <f>L56/7</f>
        <v>364635.714285714</v>
      </c>
      <c r="N56" s="29" t="s">
        <v>27</v>
      </c>
      <c r="O56" s="26"/>
    </row>
    <row r="57" ht="13" customHeight="1" spans="1:15">
      <c r="A57" s="11">
        <v>54</v>
      </c>
      <c r="B57" s="12">
        <v>45698</v>
      </c>
      <c r="C57" s="13" t="s">
        <v>168</v>
      </c>
      <c r="D57" s="43" t="s">
        <v>19</v>
      </c>
      <c r="E57" s="43" t="s">
        <v>86</v>
      </c>
      <c r="F57" s="11" t="s">
        <v>41</v>
      </c>
      <c r="G57" s="19"/>
      <c r="H57" s="26"/>
      <c r="I57" s="11"/>
      <c r="J57" s="11"/>
      <c r="K57" s="11"/>
      <c r="L57" s="35"/>
      <c r="M57" s="29"/>
      <c r="N57" s="29" t="s">
        <v>27</v>
      </c>
      <c r="O57" s="26"/>
    </row>
    <row r="58" ht="14.5" customHeight="1" spans="1:15">
      <c r="A58" s="11">
        <v>55</v>
      </c>
      <c r="B58" s="12">
        <v>45709</v>
      </c>
      <c r="C58" s="13" t="s">
        <v>169</v>
      </c>
      <c r="D58" s="43" t="s">
        <v>19</v>
      </c>
      <c r="E58" s="43" t="s">
        <v>86</v>
      </c>
      <c r="F58" s="11" t="s">
        <v>41</v>
      </c>
      <c r="G58" s="19"/>
      <c r="H58" s="26"/>
      <c r="I58" s="11"/>
      <c r="J58" s="11"/>
      <c r="K58" s="11"/>
      <c r="L58" s="29"/>
      <c r="M58" s="29"/>
      <c r="N58" s="29" t="s">
        <v>27</v>
      </c>
      <c r="O58" s="26"/>
    </row>
    <row r="59" ht="14.5" customHeight="1" spans="1:15">
      <c r="A59" s="11">
        <v>56</v>
      </c>
      <c r="B59" s="12">
        <v>45709</v>
      </c>
      <c r="C59" s="13" t="s">
        <v>170</v>
      </c>
      <c r="D59" s="43" t="s">
        <v>19</v>
      </c>
      <c r="E59" s="43" t="s">
        <v>171</v>
      </c>
      <c r="F59" s="11" t="s">
        <v>41</v>
      </c>
      <c r="G59" s="19"/>
      <c r="H59" s="26"/>
      <c r="I59" s="11"/>
      <c r="J59" s="11"/>
      <c r="K59" s="11"/>
      <c r="L59" s="29"/>
      <c r="M59" s="29"/>
      <c r="N59" s="29" t="s">
        <v>27</v>
      </c>
      <c r="O59" s="26"/>
    </row>
    <row r="60" ht="14.5" customHeight="1" spans="1:15">
      <c r="A60" s="11">
        <v>57</v>
      </c>
      <c r="B60" s="12">
        <v>45441</v>
      </c>
      <c r="C60" s="13" t="s">
        <v>173</v>
      </c>
      <c r="D60" s="43" t="s">
        <v>19</v>
      </c>
      <c r="E60" s="43" t="s">
        <v>20</v>
      </c>
      <c r="F60" s="11" t="s">
        <v>21</v>
      </c>
      <c r="G60" s="16" t="s">
        <v>174</v>
      </c>
      <c r="H60" s="26"/>
      <c r="I60" s="11"/>
      <c r="J60" s="11"/>
      <c r="K60" s="11"/>
      <c r="L60" s="29">
        <v>49692</v>
      </c>
      <c r="M60" s="29">
        <v>49692</v>
      </c>
      <c r="N60" s="29" t="s">
        <v>27</v>
      </c>
      <c r="O60" s="26"/>
    </row>
    <row r="61" ht="13" customHeight="1" spans="1:15">
      <c r="A61" s="11">
        <v>58</v>
      </c>
      <c r="B61" s="12">
        <v>45614</v>
      </c>
      <c r="C61" s="13" t="s">
        <v>175</v>
      </c>
      <c r="D61" s="43" t="s">
        <v>19</v>
      </c>
      <c r="E61" s="43" t="s">
        <v>20</v>
      </c>
      <c r="F61" s="11" t="s">
        <v>21</v>
      </c>
      <c r="G61" s="19"/>
      <c r="H61" s="26" t="s">
        <v>176</v>
      </c>
      <c r="I61" s="11" t="s">
        <v>177</v>
      </c>
      <c r="J61" s="11" t="s">
        <v>39</v>
      </c>
      <c r="K61" s="11"/>
      <c r="L61" s="29">
        <v>21610</v>
      </c>
      <c r="M61" s="29">
        <f>21610*0.5</f>
        <v>10805</v>
      </c>
      <c r="N61" s="68" t="s">
        <v>178</v>
      </c>
      <c r="O61" s="26" t="s">
        <v>98</v>
      </c>
    </row>
    <row r="62" spans="1:15">
      <c r="A62" s="11">
        <v>59</v>
      </c>
      <c r="B62" s="12">
        <v>45667</v>
      </c>
      <c r="C62" s="13" t="s">
        <v>236</v>
      </c>
      <c r="D62" s="43" t="s">
        <v>19</v>
      </c>
      <c r="E62" s="43" t="s">
        <v>20</v>
      </c>
      <c r="F62" s="11" t="s">
        <v>21</v>
      </c>
      <c r="G62" s="19"/>
      <c r="H62" s="26" t="s">
        <v>180</v>
      </c>
      <c r="I62" s="11"/>
      <c r="J62" s="11" t="s">
        <v>33</v>
      </c>
      <c r="K62" s="11"/>
      <c r="L62" s="29">
        <v>83457</v>
      </c>
      <c r="M62" s="29">
        <v>83457</v>
      </c>
      <c r="N62" s="29" t="s">
        <v>27</v>
      </c>
      <c r="O62" s="26"/>
    </row>
    <row r="63" spans="1:15">
      <c r="A63" s="11">
        <v>60</v>
      </c>
      <c r="B63" s="12">
        <v>45678</v>
      </c>
      <c r="C63" s="13" t="s">
        <v>181</v>
      </c>
      <c r="D63" s="43" t="s">
        <v>19</v>
      </c>
      <c r="E63" s="43" t="s">
        <v>20</v>
      </c>
      <c r="F63" s="11" t="s">
        <v>41</v>
      </c>
      <c r="G63" s="22"/>
      <c r="H63" s="26"/>
      <c r="I63" s="11"/>
      <c r="J63" s="11"/>
      <c r="K63" s="11"/>
      <c r="L63" s="29"/>
      <c r="M63" s="29"/>
      <c r="N63" s="68" t="s">
        <v>178</v>
      </c>
      <c r="O63" s="26"/>
    </row>
    <row r="64" spans="1:15">
      <c r="A64" s="11">
        <v>61</v>
      </c>
      <c r="B64" s="12">
        <v>45580</v>
      </c>
      <c r="C64" s="13" t="s">
        <v>182</v>
      </c>
      <c r="D64" s="43" t="s">
        <v>19</v>
      </c>
      <c r="E64" s="43" t="s">
        <v>183</v>
      </c>
      <c r="F64" s="11" t="s">
        <v>21</v>
      </c>
      <c r="G64" s="16" t="s">
        <v>184</v>
      </c>
      <c r="H64" s="26" t="s">
        <v>185</v>
      </c>
      <c r="I64" s="11" t="s">
        <v>186</v>
      </c>
      <c r="J64" s="11" t="s">
        <v>39</v>
      </c>
      <c r="K64" s="11"/>
      <c r="L64" s="29">
        <v>80000</v>
      </c>
      <c r="M64" s="29">
        <v>80000</v>
      </c>
      <c r="N64" s="29" t="s">
        <v>27</v>
      </c>
      <c r="O64" s="26"/>
    </row>
    <row r="65" spans="1:15">
      <c r="A65" s="11">
        <v>62</v>
      </c>
      <c r="B65" s="12">
        <v>45694</v>
      </c>
      <c r="C65" s="13" t="s">
        <v>187</v>
      </c>
      <c r="D65" s="43" t="s">
        <v>188</v>
      </c>
      <c r="E65" s="43" t="s">
        <v>183</v>
      </c>
      <c r="F65" s="11" t="s">
        <v>21</v>
      </c>
      <c r="G65" s="22"/>
      <c r="H65" s="69" t="s">
        <v>189</v>
      </c>
      <c r="I65" s="54" t="s">
        <v>190</v>
      </c>
      <c r="J65" s="11" t="s">
        <v>39</v>
      </c>
      <c r="K65" s="11"/>
      <c r="L65" s="35">
        <v>274500</v>
      </c>
      <c r="M65" s="29">
        <f>L65/7</f>
        <v>39214.2857142857</v>
      </c>
      <c r="N65" s="29" t="s">
        <v>27</v>
      </c>
      <c r="O65" s="26"/>
    </row>
    <row r="66" spans="1:15">
      <c r="A66" s="11">
        <v>63</v>
      </c>
      <c r="B66" s="12">
        <v>45525</v>
      </c>
      <c r="C66" s="13" t="s">
        <v>197</v>
      </c>
      <c r="D66" s="43" t="s">
        <v>188</v>
      </c>
      <c r="E66" s="43" t="s">
        <v>183</v>
      </c>
      <c r="F66" s="11" t="s">
        <v>21</v>
      </c>
      <c r="G66" s="16" t="s">
        <v>198</v>
      </c>
      <c r="H66" s="26" t="s">
        <v>199</v>
      </c>
      <c r="I66" s="11"/>
      <c r="J66" s="11" t="s">
        <v>33</v>
      </c>
      <c r="K66" s="11"/>
      <c r="L66" s="35">
        <v>7733.76</v>
      </c>
      <c r="M66" s="29">
        <f>7733.76/7</f>
        <v>1104.82285714286</v>
      </c>
      <c r="N66" s="29" t="s">
        <v>27</v>
      </c>
      <c r="O66" s="26" t="s">
        <v>200</v>
      </c>
    </row>
    <row r="67" spans="1:15">
      <c r="A67" s="11">
        <v>64</v>
      </c>
      <c r="B67" s="12">
        <v>45525</v>
      </c>
      <c r="C67" s="13" t="s">
        <v>201</v>
      </c>
      <c r="D67" s="43" t="s">
        <v>188</v>
      </c>
      <c r="E67" s="43" t="s">
        <v>183</v>
      </c>
      <c r="F67" s="11" t="s">
        <v>21</v>
      </c>
      <c r="G67" s="19"/>
      <c r="H67" s="26" t="s">
        <v>202</v>
      </c>
      <c r="I67" s="11"/>
      <c r="J67" s="11" t="s">
        <v>33</v>
      </c>
      <c r="K67" s="11"/>
      <c r="L67" s="35">
        <v>15989.76</v>
      </c>
      <c r="M67" s="29">
        <f>15989.76/7</f>
        <v>2284.25142857143</v>
      </c>
      <c r="N67" s="29" t="s">
        <v>27</v>
      </c>
      <c r="O67" s="26" t="s">
        <v>200</v>
      </c>
    </row>
    <row r="68" spans="1:15">
      <c r="A68" s="11">
        <v>65</v>
      </c>
      <c r="B68" s="12">
        <v>45565</v>
      </c>
      <c r="C68" s="13" t="s">
        <v>203</v>
      </c>
      <c r="D68" s="43" t="s">
        <v>188</v>
      </c>
      <c r="E68" s="43" t="s">
        <v>183</v>
      </c>
      <c r="F68" s="11" t="s">
        <v>21</v>
      </c>
      <c r="G68" s="19"/>
      <c r="H68" s="26" t="s">
        <v>204</v>
      </c>
      <c r="I68" s="11"/>
      <c r="J68" s="11" t="s">
        <v>33</v>
      </c>
      <c r="K68" s="11"/>
      <c r="L68" s="35">
        <v>3840</v>
      </c>
      <c r="M68" s="29">
        <f>3840/7</f>
        <v>548.571428571429</v>
      </c>
      <c r="N68" s="29" t="s">
        <v>27</v>
      </c>
      <c r="O68" s="26" t="s">
        <v>200</v>
      </c>
    </row>
    <row r="69" spans="1:15">
      <c r="A69" s="11">
        <v>66</v>
      </c>
      <c r="B69" s="12">
        <v>45628</v>
      </c>
      <c r="C69" s="13" t="s">
        <v>205</v>
      </c>
      <c r="D69" s="43" t="s">
        <v>188</v>
      </c>
      <c r="E69" s="43" t="s">
        <v>183</v>
      </c>
      <c r="F69" s="11" t="s">
        <v>21</v>
      </c>
      <c r="G69" s="19"/>
      <c r="H69" s="26" t="s">
        <v>206</v>
      </c>
      <c r="I69" s="11" t="s">
        <v>207</v>
      </c>
      <c r="J69" s="54" t="s">
        <v>25</v>
      </c>
      <c r="K69" s="54" t="s">
        <v>208</v>
      </c>
      <c r="L69" s="29">
        <v>76080</v>
      </c>
      <c r="M69" s="29">
        <f>L69</f>
        <v>76080</v>
      </c>
      <c r="N69" s="29" t="s">
        <v>27</v>
      </c>
      <c r="O69" s="26" t="s">
        <v>200</v>
      </c>
    </row>
    <row r="70" spans="1:15">
      <c r="A70" s="11">
        <v>67</v>
      </c>
      <c r="B70" s="12">
        <v>45678</v>
      </c>
      <c r="C70" s="13" t="s">
        <v>209</v>
      </c>
      <c r="D70" s="43" t="s">
        <v>188</v>
      </c>
      <c r="E70" s="43" t="s">
        <v>183</v>
      </c>
      <c r="F70" s="11" t="s">
        <v>21</v>
      </c>
      <c r="G70" s="19"/>
      <c r="H70" s="26" t="s">
        <v>210</v>
      </c>
      <c r="I70" s="11" t="s">
        <v>211</v>
      </c>
      <c r="J70" s="11" t="s">
        <v>33</v>
      </c>
      <c r="K70" s="11"/>
      <c r="L70" s="35">
        <v>6816</v>
      </c>
      <c r="M70" s="29">
        <f>6816/7</f>
        <v>973.714285714286</v>
      </c>
      <c r="N70" s="29" t="s">
        <v>27</v>
      </c>
      <c r="O70" s="26" t="s">
        <v>200</v>
      </c>
    </row>
    <row r="71" spans="1:15">
      <c r="A71" s="11">
        <v>68</v>
      </c>
      <c r="B71" s="12">
        <v>45678</v>
      </c>
      <c r="C71" s="13" t="s">
        <v>212</v>
      </c>
      <c r="D71" s="43" t="s">
        <v>188</v>
      </c>
      <c r="E71" s="43" t="s">
        <v>183</v>
      </c>
      <c r="F71" s="11" t="s">
        <v>21</v>
      </c>
      <c r="G71" s="19"/>
      <c r="H71" s="26"/>
      <c r="I71" s="11"/>
      <c r="J71" s="11"/>
      <c r="K71" s="11"/>
      <c r="L71" s="35">
        <v>672</v>
      </c>
      <c r="M71" s="29">
        <f>672/7</f>
        <v>96</v>
      </c>
      <c r="N71" s="29" t="s">
        <v>27</v>
      </c>
      <c r="O71" s="26" t="s">
        <v>200</v>
      </c>
    </row>
    <row r="72" spans="1:15">
      <c r="A72" s="11">
        <v>69</v>
      </c>
      <c r="B72" s="12">
        <v>45678</v>
      </c>
      <c r="C72" s="13" t="s">
        <v>213</v>
      </c>
      <c r="D72" s="43" t="s">
        <v>188</v>
      </c>
      <c r="E72" s="43" t="s">
        <v>183</v>
      </c>
      <c r="F72" s="11" t="s">
        <v>21</v>
      </c>
      <c r="G72" s="19"/>
      <c r="H72" s="26"/>
      <c r="I72" s="11"/>
      <c r="J72" s="11"/>
      <c r="K72" s="11"/>
      <c r="L72" s="35">
        <v>3840</v>
      </c>
      <c r="M72" s="29">
        <f>3840/7</f>
        <v>548.571428571429</v>
      </c>
      <c r="N72" s="29" t="s">
        <v>27</v>
      </c>
      <c r="O72" s="26" t="s">
        <v>200</v>
      </c>
    </row>
    <row r="73" spans="1:15">
      <c r="A73" s="11">
        <v>70</v>
      </c>
      <c r="B73" s="12">
        <v>45678</v>
      </c>
      <c r="C73" s="13" t="s">
        <v>214</v>
      </c>
      <c r="D73" s="43" t="s">
        <v>188</v>
      </c>
      <c r="E73" s="43" t="s">
        <v>183</v>
      </c>
      <c r="F73" s="11" t="s">
        <v>21</v>
      </c>
      <c r="G73" s="19"/>
      <c r="H73" s="26"/>
      <c r="I73" s="11"/>
      <c r="J73" s="11"/>
      <c r="K73" s="11"/>
      <c r="L73" s="35">
        <v>7488</v>
      </c>
      <c r="M73" s="29">
        <f>7488/7</f>
        <v>1069.71428571429</v>
      </c>
      <c r="N73" s="29" t="s">
        <v>27</v>
      </c>
      <c r="O73" s="26" t="s">
        <v>200</v>
      </c>
    </row>
    <row r="74" spans="1:15">
      <c r="A74" s="11">
        <v>71</v>
      </c>
      <c r="B74" s="12">
        <v>45678</v>
      </c>
      <c r="C74" s="13" t="s">
        <v>215</v>
      </c>
      <c r="D74" s="43" t="s">
        <v>188</v>
      </c>
      <c r="E74" s="43" t="s">
        <v>183</v>
      </c>
      <c r="F74" s="11" t="s">
        <v>21</v>
      </c>
      <c r="G74" s="19"/>
      <c r="H74" s="26" t="s">
        <v>216</v>
      </c>
      <c r="I74" s="11"/>
      <c r="J74" s="11" t="s">
        <v>33</v>
      </c>
      <c r="K74" s="11"/>
      <c r="L74" s="35">
        <v>59520.12</v>
      </c>
      <c r="M74" s="29">
        <f>59520.12/7</f>
        <v>8502.87428571429</v>
      </c>
      <c r="N74" s="29" t="s">
        <v>27</v>
      </c>
      <c r="O74" s="26" t="s">
        <v>200</v>
      </c>
    </row>
    <row r="75" spans="1:15">
      <c r="A75" s="11">
        <v>72</v>
      </c>
      <c r="B75" s="12">
        <v>45678</v>
      </c>
      <c r="C75" s="13" t="s">
        <v>217</v>
      </c>
      <c r="D75" s="43" t="s">
        <v>188</v>
      </c>
      <c r="E75" s="43" t="s">
        <v>183</v>
      </c>
      <c r="F75" s="11" t="s">
        <v>21</v>
      </c>
      <c r="G75" s="19"/>
      <c r="H75" s="26"/>
      <c r="I75" s="11"/>
      <c r="J75" s="11"/>
      <c r="K75" s="11"/>
      <c r="L75" s="35">
        <v>11094.34</v>
      </c>
      <c r="M75" s="29">
        <f>11094.34/7</f>
        <v>1584.90571428571</v>
      </c>
      <c r="N75" s="29" t="s">
        <v>27</v>
      </c>
      <c r="O75" s="26" t="s">
        <v>200</v>
      </c>
    </row>
    <row r="76" spans="1:15">
      <c r="A76" s="11">
        <v>73</v>
      </c>
      <c r="B76" s="12">
        <v>45700</v>
      </c>
      <c r="C76" s="13" t="s">
        <v>218</v>
      </c>
      <c r="D76" s="43" t="s">
        <v>188</v>
      </c>
      <c r="E76" s="43" t="s">
        <v>183</v>
      </c>
      <c r="F76" s="11" t="s">
        <v>21</v>
      </c>
      <c r="G76" s="19"/>
      <c r="H76" s="26"/>
      <c r="I76" s="11"/>
      <c r="J76" s="11"/>
      <c r="K76" s="11"/>
      <c r="L76" s="35">
        <v>5145.6</v>
      </c>
      <c r="M76" s="29">
        <f>L76/7</f>
        <v>735.085714285714</v>
      </c>
      <c r="N76" s="29" t="s">
        <v>27</v>
      </c>
      <c r="O76" s="26" t="s">
        <v>200</v>
      </c>
    </row>
    <row r="77" spans="1:15">
      <c r="A77" s="11">
        <v>74</v>
      </c>
      <c r="B77" s="12">
        <v>45706</v>
      </c>
      <c r="C77" s="13" t="s">
        <v>219</v>
      </c>
      <c r="D77" s="43" t="s">
        <v>188</v>
      </c>
      <c r="E77" s="43" t="s">
        <v>183</v>
      </c>
      <c r="F77" s="11" t="s">
        <v>21</v>
      </c>
      <c r="G77" s="19"/>
      <c r="H77" s="26"/>
      <c r="I77" s="11"/>
      <c r="J77" s="11"/>
      <c r="K77" s="11"/>
      <c r="L77" s="35">
        <v>7733.76</v>
      </c>
      <c r="M77" s="29">
        <f>L77/7</f>
        <v>1104.82285714286</v>
      </c>
      <c r="N77" s="29" t="s">
        <v>27</v>
      </c>
      <c r="O77" s="26" t="s">
        <v>200</v>
      </c>
    </row>
    <row r="78" spans="1:15">
      <c r="A78" s="11">
        <v>75</v>
      </c>
      <c r="B78" s="12">
        <v>45706</v>
      </c>
      <c r="C78" s="13" t="s">
        <v>220</v>
      </c>
      <c r="D78" s="43" t="s">
        <v>188</v>
      </c>
      <c r="E78" s="43" t="s">
        <v>183</v>
      </c>
      <c r="F78" s="11" t="s">
        <v>21</v>
      </c>
      <c r="G78" s="19"/>
      <c r="H78" s="26"/>
      <c r="I78" s="11"/>
      <c r="J78" s="11"/>
      <c r="K78" s="11"/>
      <c r="L78" s="35">
        <v>7733.76</v>
      </c>
      <c r="M78" s="29">
        <f>L78/7</f>
        <v>1104.82285714286</v>
      </c>
      <c r="N78" s="29" t="s">
        <v>27</v>
      </c>
      <c r="O78" s="26" t="s">
        <v>200</v>
      </c>
    </row>
    <row r="79" spans="1:15">
      <c r="A79" s="11">
        <v>76</v>
      </c>
      <c r="B79" s="12">
        <v>45708</v>
      </c>
      <c r="C79" s="13" t="s">
        <v>221</v>
      </c>
      <c r="D79" s="43" t="s">
        <v>188</v>
      </c>
      <c r="E79" s="43" t="s">
        <v>183</v>
      </c>
      <c r="F79" s="11" t="s">
        <v>21</v>
      </c>
      <c r="G79" s="22"/>
      <c r="H79" s="26"/>
      <c r="I79" s="11"/>
      <c r="J79" s="11"/>
      <c r="K79" s="11"/>
      <c r="L79" s="35">
        <v>12864</v>
      </c>
      <c r="M79" s="29">
        <f>L79/7</f>
        <v>1837.71428571429</v>
      </c>
      <c r="N79" s="29" t="s">
        <v>27</v>
      </c>
      <c r="O79" s="26" t="s">
        <v>200</v>
      </c>
    </row>
    <row r="80" spans="1:15">
      <c r="A80" s="11">
        <v>77</v>
      </c>
      <c r="B80" s="12">
        <v>45693</v>
      </c>
      <c r="C80" s="13" t="s">
        <v>193</v>
      </c>
      <c r="D80" s="43" t="s">
        <v>19</v>
      </c>
      <c r="E80" s="43" t="s">
        <v>20</v>
      </c>
      <c r="F80" s="11" t="s">
        <v>41</v>
      </c>
      <c r="G80" s="11" t="s">
        <v>194</v>
      </c>
      <c r="H80" s="26"/>
      <c r="I80" s="11"/>
      <c r="J80" s="11"/>
      <c r="K80" s="11"/>
      <c r="L80" s="35"/>
      <c r="M80" s="29"/>
      <c r="N80" s="29" t="s">
        <v>27</v>
      </c>
      <c r="O80" s="26"/>
    </row>
    <row r="81" spans="1:15">
      <c r="A81" s="11">
        <v>78</v>
      </c>
      <c r="B81" s="12">
        <v>45706</v>
      </c>
      <c r="C81" s="13" t="s">
        <v>222</v>
      </c>
      <c r="D81" s="43" t="s">
        <v>188</v>
      </c>
      <c r="E81" s="43" t="s">
        <v>183</v>
      </c>
      <c r="F81" s="11" t="s">
        <v>138</v>
      </c>
      <c r="G81" s="11" t="s">
        <v>223</v>
      </c>
      <c r="H81" s="26"/>
      <c r="I81" s="11"/>
      <c r="J81" s="11"/>
      <c r="K81" s="11"/>
      <c r="L81" s="35"/>
      <c r="M81" s="29"/>
      <c r="N81" s="29" t="s">
        <v>27</v>
      </c>
      <c r="O81" s="26"/>
    </row>
    <row r="82" spans="1:14">
      <c r="A82" s="1"/>
      <c r="N82" s="38"/>
    </row>
    <row r="83" spans="12:13">
      <c r="L83" s="39" t="s">
        <v>228</v>
      </c>
      <c r="M83" s="40">
        <f>SUM(M3:M65)-M10-M13</f>
        <v>5487323.16528571</v>
      </c>
    </row>
    <row r="84" spans="12:12">
      <c r="L84" s="2"/>
    </row>
    <row r="85" spans="12:12">
      <c r="L85" s="2"/>
    </row>
    <row r="87" spans="12:13">
      <c r="L87" s="2"/>
      <c r="M87" s="2"/>
    </row>
    <row r="88" spans="12:13">
      <c r="L88" s="2"/>
      <c r="M88" s="2"/>
    </row>
    <row r="89" spans="7:13">
      <c r="G89" s="5"/>
      <c r="H89" s="37"/>
      <c r="I89" s="5"/>
      <c r="J89" s="5"/>
      <c r="K89" s="5"/>
      <c r="L89" s="2"/>
      <c r="M89" s="2"/>
    </row>
    <row r="90" spans="7:14">
      <c r="G90" s="5"/>
      <c r="H90" s="37"/>
      <c r="I90" s="5"/>
      <c r="J90" s="5"/>
      <c r="K90" s="5"/>
      <c r="L90" s="2"/>
      <c r="M90" s="2"/>
      <c r="N90" s="2"/>
    </row>
    <row r="91" spans="7:14">
      <c r="G91" s="5"/>
      <c r="H91" s="37"/>
      <c r="I91" s="5"/>
      <c r="J91" s="5"/>
      <c r="K91" s="5"/>
      <c r="L91" s="2"/>
      <c r="M91" s="2"/>
      <c r="N91" s="2"/>
    </row>
    <row r="92" spans="12:13">
      <c r="L92" s="2"/>
      <c r="M92" s="2"/>
    </row>
    <row r="93" spans="7:13">
      <c r="G93" s="5"/>
      <c r="H93" s="37"/>
      <c r="I93" s="5"/>
      <c r="J93" s="5"/>
      <c r="K93" s="5"/>
      <c r="L93" s="2"/>
      <c r="M93" s="2"/>
    </row>
    <row r="94" spans="7:13">
      <c r="G94" s="5"/>
      <c r="H94" s="37"/>
      <c r="I94" s="5"/>
      <c r="J94" s="5"/>
      <c r="K94" s="5"/>
      <c r="L94" s="2"/>
      <c r="M94" s="2"/>
    </row>
    <row r="95" spans="7:11">
      <c r="G95" s="5"/>
      <c r="H95" s="37"/>
      <c r="I95" s="5"/>
      <c r="J95" s="5"/>
      <c r="K95" s="5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2:O81" etc:filterBottomFollowUsedRange="0">
    <extLst/>
  </autoFilter>
  <mergeCells count="15">
    <mergeCell ref="A1:N1"/>
    <mergeCell ref="A9:A11"/>
    <mergeCell ref="B9:B11"/>
    <mergeCell ref="C9:C11"/>
    <mergeCell ref="D9:D11"/>
    <mergeCell ref="E9:E11"/>
    <mergeCell ref="F9:F11"/>
    <mergeCell ref="G3:G15"/>
    <mergeCell ref="G16:G29"/>
    <mergeCell ref="G30:G39"/>
    <mergeCell ref="G40:G43"/>
    <mergeCell ref="G44:G59"/>
    <mergeCell ref="G60:G63"/>
    <mergeCell ref="G64:G65"/>
    <mergeCell ref="G66:G79"/>
  </mergeCells>
  <pageMargins left="0.75" right="0.75" top="1" bottom="1" header="0.5" footer="0.5"/>
  <pageSetup paperSize="1" orientation="portrait" horizontalDpi="1200" verticalDpi="12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8"/>
  <sheetViews>
    <sheetView zoomScale="129" zoomScaleNormal="129" topLeftCell="A36" workbookViewId="0">
      <selection activeCell="G21" sqref="G21"/>
    </sheetView>
  </sheetViews>
  <sheetFormatPr defaultColWidth="47.2666666666667" defaultRowHeight="12.75"/>
  <cols>
    <col min="1" max="1" width="5.09166666666667" style="2" customWidth="1"/>
    <col min="2" max="2" width="9.36666666666667" style="3" customWidth="1"/>
    <col min="3" max="3" width="52.45" style="4" customWidth="1"/>
    <col min="4" max="4" width="9.725" style="2" customWidth="1"/>
    <col min="5" max="5" width="12" style="2" customWidth="1"/>
    <col min="6" max="6" width="19.8166666666667" style="4" customWidth="1"/>
    <col min="7" max="9" width="15.6333333333333" style="2" customWidth="1"/>
    <col min="10" max="11" width="13.6333333333333" style="5" customWidth="1"/>
    <col min="12" max="12" width="17.9083333333333" style="5" customWidth="1"/>
    <col min="13" max="13" width="27.3666666666667" style="2" customWidth="1"/>
    <col min="14" max="14" width="47.2666666666667" style="2" customWidth="1"/>
    <col min="15" max="16384" width="47.2666666666667" style="2"/>
  </cols>
  <sheetData>
    <row r="1" ht="13" customHeight="1" spans="1:13">
      <c r="A1" s="6" t="s">
        <v>229</v>
      </c>
      <c r="B1" s="7"/>
      <c r="C1" s="7"/>
      <c r="D1" s="7"/>
      <c r="E1" s="7"/>
      <c r="F1" s="7"/>
      <c r="G1" s="7"/>
      <c r="H1" s="7"/>
      <c r="I1" s="7"/>
      <c r="J1" s="7"/>
      <c r="K1" s="7"/>
      <c r="L1" s="27"/>
      <c r="M1" s="33"/>
    </row>
    <row r="2" s="1" customFormat="1" ht="24" spans="1:13">
      <c r="A2" s="8" t="s">
        <v>1</v>
      </c>
      <c r="B2" s="9" t="s">
        <v>2</v>
      </c>
      <c r="C2" s="10" t="s">
        <v>3</v>
      </c>
      <c r="D2" s="10" t="s">
        <v>6</v>
      </c>
      <c r="E2" s="25" t="s">
        <v>7</v>
      </c>
      <c r="F2" s="8" t="s">
        <v>8</v>
      </c>
      <c r="G2" s="8" t="s">
        <v>9</v>
      </c>
      <c r="H2" s="8" t="s">
        <v>10</v>
      </c>
      <c r="I2" s="8" t="s">
        <v>11</v>
      </c>
      <c r="J2" s="28" t="s">
        <v>14</v>
      </c>
      <c r="K2" s="28" t="s">
        <v>15</v>
      </c>
      <c r="L2" s="28" t="s">
        <v>16</v>
      </c>
      <c r="M2" s="8" t="s">
        <v>17</v>
      </c>
    </row>
    <row r="3" spans="1:13">
      <c r="A3" s="11">
        <v>1</v>
      </c>
      <c r="B3" s="12">
        <v>44897</v>
      </c>
      <c r="C3" s="13" t="s">
        <v>237</v>
      </c>
      <c r="D3" s="11" t="s">
        <v>41</v>
      </c>
      <c r="E3" s="16" t="s">
        <v>22</v>
      </c>
      <c r="F3" s="26"/>
      <c r="G3" s="11"/>
      <c r="H3" s="11"/>
      <c r="I3" s="11"/>
      <c r="J3" s="29"/>
      <c r="K3" s="29"/>
      <c r="L3" s="29" t="s">
        <v>27</v>
      </c>
      <c r="M3" s="15"/>
    </row>
    <row r="4" spans="1:13">
      <c r="A4" s="11">
        <v>2</v>
      </c>
      <c r="B4" s="12">
        <v>45262</v>
      </c>
      <c r="C4" s="13" t="s">
        <v>238</v>
      </c>
      <c r="D4" s="11" t="s">
        <v>41</v>
      </c>
      <c r="E4" s="19"/>
      <c r="F4" s="26"/>
      <c r="G4" s="11"/>
      <c r="H4" s="11"/>
      <c r="I4" s="11"/>
      <c r="J4" s="29"/>
      <c r="K4" s="29"/>
      <c r="L4" s="29" t="s">
        <v>27</v>
      </c>
      <c r="M4" s="15"/>
    </row>
    <row r="5" spans="1:13">
      <c r="A5" s="11">
        <v>3</v>
      </c>
      <c r="B5" s="12">
        <v>45457</v>
      </c>
      <c r="C5" s="13" t="s">
        <v>239</v>
      </c>
      <c r="D5" s="11" t="s">
        <v>41</v>
      </c>
      <c r="E5" s="19"/>
      <c r="F5" s="26"/>
      <c r="G5" s="11"/>
      <c r="H5" s="11"/>
      <c r="I5" s="11"/>
      <c r="J5" s="29"/>
      <c r="K5" s="29"/>
      <c r="L5" s="29" t="s">
        <v>27</v>
      </c>
      <c r="M5" s="26"/>
    </row>
    <row r="6" spans="1:13">
      <c r="A6" s="11">
        <v>4</v>
      </c>
      <c r="B6" s="12">
        <v>45554</v>
      </c>
      <c r="C6" s="13" t="s">
        <v>240</v>
      </c>
      <c r="D6" s="11" t="s">
        <v>41</v>
      </c>
      <c r="E6" s="19"/>
      <c r="F6" s="26"/>
      <c r="G6" s="11"/>
      <c r="H6" s="11"/>
      <c r="I6" s="11"/>
      <c r="J6" s="29"/>
      <c r="K6" s="29"/>
      <c r="L6" s="29" t="s">
        <v>27</v>
      </c>
      <c r="M6" s="26"/>
    </row>
    <row r="7" spans="1:13">
      <c r="A7" s="11">
        <v>5</v>
      </c>
      <c r="B7" s="12">
        <v>45400</v>
      </c>
      <c r="C7" s="13" t="s">
        <v>18</v>
      </c>
      <c r="D7" s="11" t="s">
        <v>21</v>
      </c>
      <c r="E7" s="19"/>
      <c r="F7" s="26" t="s">
        <v>23</v>
      </c>
      <c r="G7" s="11" t="s">
        <v>24</v>
      </c>
      <c r="H7" s="11" t="s">
        <v>39</v>
      </c>
      <c r="I7" s="11"/>
      <c r="J7" s="29">
        <v>29212.2</v>
      </c>
      <c r="K7" s="29">
        <v>29212.2</v>
      </c>
      <c r="L7" s="29" t="s">
        <v>27</v>
      </c>
      <c r="M7" s="26"/>
    </row>
    <row r="8" spans="1:13">
      <c r="A8" s="11">
        <v>6</v>
      </c>
      <c r="B8" s="14" t="s">
        <v>28</v>
      </c>
      <c r="C8" s="15" t="s">
        <v>29</v>
      </c>
      <c r="D8" s="11" t="s">
        <v>21</v>
      </c>
      <c r="E8" s="19"/>
      <c r="F8" s="26" t="s">
        <v>32</v>
      </c>
      <c r="G8" s="11"/>
      <c r="H8" s="11" t="s">
        <v>33</v>
      </c>
      <c r="I8" s="11"/>
      <c r="J8" s="30">
        <v>1200</v>
      </c>
      <c r="K8" s="30">
        <v>1200</v>
      </c>
      <c r="L8" s="29" t="s">
        <v>27</v>
      </c>
      <c r="M8" s="26"/>
    </row>
    <row r="9" spans="1:13">
      <c r="A9" s="11">
        <v>7</v>
      </c>
      <c r="B9" s="14" t="s">
        <v>28</v>
      </c>
      <c r="C9" s="15" t="s">
        <v>34</v>
      </c>
      <c r="D9" s="11" t="s">
        <v>21</v>
      </c>
      <c r="E9" s="19"/>
      <c r="F9" s="26" t="s">
        <v>35</v>
      </c>
      <c r="G9" s="11"/>
      <c r="H9" s="11" t="s">
        <v>33</v>
      </c>
      <c r="I9" s="11"/>
      <c r="J9" s="30">
        <v>12000</v>
      </c>
      <c r="K9" s="30">
        <v>12000</v>
      </c>
      <c r="L9" s="29" t="s">
        <v>27</v>
      </c>
      <c r="M9" s="26"/>
    </row>
    <row r="10" spans="1:13">
      <c r="A10" s="11">
        <v>8</v>
      </c>
      <c r="B10" s="12">
        <v>45642</v>
      </c>
      <c r="C10" s="13" t="s">
        <v>36</v>
      </c>
      <c r="D10" s="11" t="s">
        <v>41</v>
      </c>
      <c r="E10" s="19"/>
      <c r="F10" s="26"/>
      <c r="G10" s="11"/>
      <c r="H10" s="11"/>
      <c r="I10" s="11"/>
      <c r="J10" s="30"/>
      <c r="K10" s="30"/>
      <c r="L10" s="29" t="s">
        <v>27</v>
      </c>
      <c r="M10" s="26"/>
    </row>
    <row r="11" spans="1:13">
      <c r="A11" s="11">
        <v>9</v>
      </c>
      <c r="B11" s="12">
        <v>45679</v>
      </c>
      <c r="C11" s="13" t="s">
        <v>42</v>
      </c>
      <c r="D11" s="11" t="s">
        <v>41</v>
      </c>
      <c r="E11" s="22"/>
      <c r="F11" s="26"/>
      <c r="G11" s="11"/>
      <c r="H11" s="11"/>
      <c r="I11" s="11"/>
      <c r="J11" s="30"/>
      <c r="K11" s="30"/>
      <c r="L11" s="29" t="s">
        <v>27</v>
      </c>
      <c r="M11" s="26"/>
    </row>
    <row r="12" spans="1:13">
      <c r="A12" s="16">
        <v>10</v>
      </c>
      <c r="B12" s="17">
        <v>45680</v>
      </c>
      <c r="C12" s="18" t="s">
        <v>43</v>
      </c>
      <c r="D12" s="16" t="s">
        <v>21</v>
      </c>
      <c r="E12" s="16" t="s">
        <v>22</v>
      </c>
      <c r="F12" s="26" t="s">
        <v>44</v>
      </c>
      <c r="G12" s="11"/>
      <c r="H12" s="11" t="s">
        <v>33</v>
      </c>
      <c r="I12" s="11"/>
      <c r="J12" s="31">
        <v>2004</v>
      </c>
      <c r="K12" s="31">
        <v>2004</v>
      </c>
      <c r="L12" s="29" t="s">
        <v>27</v>
      </c>
      <c r="M12" s="26"/>
    </row>
    <row r="13" spans="1:13">
      <c r="A13" s="19"/>
      <c r="B13" s="20"/>
      <c r="C13" s="21"/>
      <c r="D13" s="19"/>
      <c r="E13" s="19"/>
      <c r="F13" s="26" t="s">
        <v>46</v>
      </c>
      <c r="G13" s="11"/>
      <c r="H13" s="11" t="s">
        <v>33</v>
      </c>
      <c r="I13" s="11"/>
      <c r="J13" s="32"/>
      <c r="K13" s="32"/>
      <c r="L13" s="29" t="s">
        <v>27</v>
      </c>
      <c r="M13" s="26"/>
    </row>
    <row r="14" spans="1:13">
      <c r="A14" s="22"/>
      <c r="B14" s="23"/>
      <c r="C14" s="24"/>
      <c r="D14" s="22"/>
      <c r="E14" s="19"/>
      <c r="F14" s="26" t="s">
        <v>49</v>
      </c>
      <c r="G14" s="11"/>
      <c r="H14" s="11" t="s">
        <v>33</v>
      </c>
      <c r="I14" s="11"/>
      <c r="J14" s="30"/>
      <c r="K14" s="30"/>
      <c r="L14" s="29" t="s">
        <v>27</v>
      </c>
      <c r="M14" s="26"/>
    </row>
    <row r="15" spans="1:13">
      <c r="A15" s="11">
        <v>11</v>
      </c>
      <c r="B15" s="12">
        <v>45680</v>
      </c>
      <c r="C15" s="15" t="s">
        <v>51</v>
      </c>
      <c r="D15" s="11" t="s">
        <v>21</v>
      </c>
      <c r="E15" s="19"/>
      <c r="F15" s="26" t="s">
        <v>52</v>
      </c>
      <c r="G15" s="11"/>
      <c r="H15" s="11" t="s">
        <v>33</v>
      </c>
      <c r="I15" s="11"/>
      <c r="J15" s="29">
        <v>1200</v>
      </c>
      <c r="K15" s="29">
        <v>1200</v>
      </c>
      <c r="L15" s="29" t="s">
        <v>27</v>
      </c>
      <c r="M15" s="26"/>
    </row>
    <row r="16" ht="13" customHeight="1" spans="1:13">
      <c r="A16" s="11">
        <v>12</v>
      </c>
      <c r="B16" s="12">
        <v>45680</v>
      </c>
      <c r="C16" s="15" t="s">
        <v>230</v>
      </c>
      <c r="D16" s="11" t="s">
        <v>21</v>
      </c>
      <c r="E16" s="22"/>
      <c r="F16" s="26" t="s">
        <v>231</v>
      </c>
      <c r="G16" s="11"/>
      <c r="H16" s="11" t="s">
        <v>33</v>
      </c>
      <c r="I16" s="11"/>
      <c r="J16" s="29">
        <v>6000</v>
      </c>
      <c r="K16" s="29">
        <v>6000</v>
      </c>
      <c r="L16" s="29" t="s">
        <v>27</v>
      </c>
      <c r="M16" s="26"/>
    </row>
    <row r="17" ht="13" customHeight="1" spans="1:13">
      <c r="A17" s="11">
        <v>13</v>
      </c>
      <c r="B17" s="12">
        <v>45551</v>
      </c>
      <c r="C17" s="13" t="s">
        <v>66</v>
      </c>
      <c r="D17" s="11" t="s">
        <v>21</v>
      </c>
      <c r="E17" s="11" t="s">
        <v>61</v>
      </c>
      <c r="F17" s="26"/>
      <c r="G17" s="11"/>
      <c r="H17" s="11"/>
      <c r="I17" s="11"/>
      <c r="J17" s="30">
        <v>395692.4</v>
      </c>
      <c r="K17" s="30">
        <f>395692.4*0.4</f>
        <v>158276.96</v>
      </c>
      <c r="L17" s="30" t="s">
        <v>64</v>
      </c>
      <c r="M17" s="26" t="s">
        <v>65</v>
      </c>
    </row>
    <row r="18" ht="13" customHeight="1" spans="1:13">
      <c r="A18" s="11">
        <v>14</v>
      </c>
      <c r="B18" s="12">
        <v>45551</v>
      </c>
      <c r="C18" s="13" t="s">
        <v>69</v>
      </c>
      <c r="D18" s="11" t="s">
        <v>21</v>
      </c>
      <c r="E18" s="11"/>
      <c r="F18" s="26" t="s">
        <v>70</v>
      </c>
      <c r="G18" s="11" t="s">
        <v>71</v>
      </c>
      <c r="H18" s="11" t="s">
        <v>39</v>
      </c>
      <c r="I18" s="11"/>
      <c r="J18" s="31">
        <v>51700</v>
      </c>
      <c r="K18" s="31">
        <v>51700</v>
      </c>
      <c r="L18" s="31" t="s">
        <v>64</v>
      </c>
      <c r="M18" s="26" t="s">
        <v>72</v>
      </c>
    </row>
    <row r="19" spans="1:13">
      <c r="A19" s="11">
        <v>15</v>
      </c>
      <c r="B19" s="12">
        <v>45252</v>
      </c>
      <c r="C19" s="13" t="s">
        <v>73</v>
      </c>
      <c r="D19" s="11" t="s">
        <v>41</v>
      </c>
      <c r="E19" s="11"/>
      <c r="F19" s="26"/>
      <c r="G19" s="11"/>
      <c r="H19" s="11"/>
      <c r="I19" s="11"/>
      <c r="J19" s="29"/>
      <c r="K19" s="29"/>
      <c r="L19" s="29" t="s">
        <v>27</v>
      </c>
      <c r="M19" s="26"/>
    </row>
    <row r="20" spans="1:13">
      <c r="A20" s="11">
        <v>16</v>
      </c>
      <c r="B20" s="12">
        <v>45252</v>
      </c>
      <c r="C20" s="13" t="s">
        <v>75</v>
      </c>
      <c r="D20" s="11" t="s">
        <v>21</v>
      </c>
      <c r="E20" s="11"/>
      <c r="F20" s="26" t="s">
        <v>76</v>
      </c>
      <c r="G20" s="11"/>
      <c r="H20" s="11" t="s">
        <v>33</v>
      </c>
      <c r="I20" s="11"/>
      <c r="J20" s="29">
        <v>60010</v>
      </c>
      <c r="K20" s="29">
        <v>60010</v>
      </c>
      <c r="L20" s="29" t="s">
        <v>27</v>
      </c>
      <c r="M20" s="26"/>
    </row>
    <row r="21" spans="1:13">
      <c r="A21" s="11">
        <v>17</v>
      </c>
      <c r="B21" s="12">
        <v>45429</v>
      </c>
      <c r="C21" s="13" t="s">
        <v>241</v>
      </c>
      <c r="D21" s="11" t="s">
        <v>41</v>
      </c>
      <c r="E21" s="11"/>
      <c r="F21" s="26"/>
      <c r="G21" s="11"/>
      <c r="H21" s="11"/>
      <c r="I21" s="11"/>
      <c r="J21" s="29"/>
      <c r="K21" s="29"/>
      <c r="L21" s="29" t="s">
        <v>27</v>
      </c>
      <c r="M21" s="26"/>
    </row>
    <row r="22" spans="1:13">
      <c r="A22" s="11">
        <v>18</v>
      </c>
      <c r="B22" s="12">
        <v>45594</v>
      </c>
      <c r="C22" s="13" t="s">
        <v>234</v>
      </c>
      <c r="D22" s="11" t="s">
        <v>41</v>
      </c>
      <c r="E22" s="11"/>
      <c r="F22" s="26"/>
      <c r="G22" s="11"/>
      <c r="H22" s="11"/>
      <c r="I22" s="11"/>
      <c r="J22" s="29"/>
      <c r="K22" s="29"/>
      <c r="L22" s="29" t="s">
        <v>64</v>
      </c>
      <c r="M22" s="34"/>
    </row>
    <row r="23" spans="1:13">
      <c r="A23" s="11">
        <v>19</v>
      </c>
      <c r="B23" s="12">
        <v>45602</v>
      </c>
      <c r="C23" s="13" t="s">
        <v>242</v>
      </c>
      <c r="D23" s="11" t="s">
        <v>41</v>
      </c>
      <c r="E23" s="11"/>
      <c r="F23" s="26"/>
      <c r="G23" s="11"/>
      <c r="H23" s="11"/>
      <c r="I23" s="11"/>
      <c r="J23" s="29"/>
      <c r="K23" s="29"/>
      <c r="L23" s="29" t="s">
        <v>64</v>
      </c>
      <c r="M23" s="34"/>
    </row>
    <row r="24" spans="1:13">
      <c r="A24" s="11">
        <v>20</v>
      </c>
      <c r="B24" s="12">
        <v>45610</v>
      </c>
      <c r="C24" s="13" t="s">
        <v>78</v>
      </c>
      <c r="D24" s="11" t="s">
        <v>41</v>
      </c>
      <c r="E24" s="11"/>
      <c r="F24" s="26"/>
      <c r="G24" s="11"/>
      <c r="H24" s="11"/>
      <c r="I24" s="11"/>
      <c r="J24" s="29"/>
      <c r="K24" s="29"/>
      <c r="L24" s="29" t="s">
        <v>27</v>
      </c>
      <c r="M24" s="34"/>
    </row>
    <row r="25" spans="1:13">
      <c r="A25" s="11">
        <v>21</v>
      </c>
      <c r="B25" s="12">
        <v>45664</v>
      </c>
      <c r="C25" s="13" t="s">
        <v>83</v>
      </c>
      <c r="D25" s="11" t="s">
        <v>41</v>
      </c>
      <c r="E25" s="11"/>
      <c r="F25" s="26"/>
      <c r="G25" s="11"/>
      <c r="H25" s="11"/>
      <c r="I25" s="11"/>
      <c r="J25" s="29"/>
      <c r="K25" s="29"/>
      <c r="L25" s="29" t="s">
        <v>64</v>
      </c>
      <c r="M25" s="34"/>
    </row>
    <row r="26" spans="1:13">
      <c r="A26" s="11">
        <v>22</v>
      </c>
      <c r="B26" s="12">
        <v>45670</v>
      </c>
      <c r="C26" s="13" t="s">
        <v>84</v>
      </c>
      <c r="D26" s="11" t="s">
        <v>41</v>
      </c>
      <c r="E26" s="11"/>
      <c r="F26" s="26"/>
      <c r="G26" s="11"/>
      <c r="H26" s="11"/>
      <c r="I26" s="11"/>
      <c r="J26" s="29"/>
      <c r="K26" s="29"/>
      <c r="L26" s="29" t="s">
        <v>64</v>
      </c>
      <c r="M26" s="34"/>
    </row>
    <row r="27" spans="1:13">
      <c r="A27" s="11">
        <v>23</v>
      </c>
      <c r="B27" s="12">
        <v>45671</v>
      </c>
      <c r="C27" s="13" t="s">
        <v>85</v>
      </c>
      <c r="D27" s="11" t="s">
        <v>21</v>
      </c>
      <c r="E27" s="11"/>
      <c r="F27" s="26" t="s">
        <v>87</v>
      </c>
      <c r="G27" s="11"/>
      <c r="H27" s="11" t="s">
        <v>33</v>
      </c>
      <c r="I27" s="11"/>
      <c r="J27" s="29">
        <v>522979</v>
      </c>
      <c r="K27" s="29">
        <v>522979</v>
      </c>
      <c r="L27" s="29" t="s">
        <v>27</v>
      </c>
      <c r="M27" s="34"/>
    </row>
    <row r="28" spans="1:13">
      <c r="A28" s="11">
        <v>24</v>
      </c>
      <c r="B28" s="12">
        <v>45376</v>
      </c>
      <c r="C28" s="13" t="s">
        <v>243</v>
      </c>
      <c r="D28" s="11" t="s">
        <v>41</v>
      </c>
      <c r="E28" s="11" t="s">
        <v>97</v>
      </c>
      <c r="F28" s="26"/>
      <c r="G28" s="11"/>
      <c r="H28" s="11"/>
      <c r="I28" s="11"/>
      <c r="J28" s="29"/>
      <c r="K28" s="29"/>
      <c r="L28" s="29" t="s">
        <v>27</v>
      </c>
      <c r="M28" s="15"/>
    </row>
    <row r="29" spans="1:13">
      <c r="A29" s="11">
        <v>25</v>
      </c>
      <c r="B29" s="12">
        <v>45469</v>
      </c>
      <c r="C29" s="13" t="s">
        <v>244</v>
      </c>
      <c r="D29" s="11" t="s">
        <v>41</v>
      </c>
      <c r="E29" s="11"/>
      <c r="F29" s="26"/>
      <c r="G29" s="11"/>
      <c r="H29" s="11"/>
      <c r="I29" s="11"/>
      <c r="J29" s="29"/>
      <c r="K29" s="29"/>
      <c r="L29" s="29" t="s">
        <v>27</v>
      </c>
      <c r="M29" s="15"/>
    </row>
    <row r="30" spans="1:13">
      <c r="A30" s="11">
        <v>26</v>
      </c>
      <c r="B30" s="12">
        <v>45474</v>
      </c>
      <c r="C30" s="13" t="s">
        <v>245</v>
      </c>
      <c r="D30" s="11" t="s">
        <v>41</v>
      </c>
      <c r="E30" s="11"/>
      <c r="F30" s="26"/>
      <c r="G30" s="11"/>
      <c r="H30" s="11"/>
      <c r="I30" s="11"/>
      <c r="J30" s="29"/>
      <c r="K30" s="29"/>
      <c r="L30" s="29" t="s">
        <v>64</v>
      </c>
      <c r="M30" s="15"/>
    </row>
    <row r="31" ht="12.5" customHeight="1" spans="1:13">
      <c r="A31" s="11">
        <v>27</v>
      </c>
      <c r="B31" s="12">
        <v>45566</v>
      </c>
      <c r="C31" s="13" t="s">
        <v>246</v>
      </c>
      <c r="D31" s="11" t="s">
        <v>41</v>
      </c>
      <c r="E31" s="11"/>
      <c r="F31" s="26"/>
      <c r="G31" s="11"/>
      <c r="H31" s="11"/>
      <c r="I31" s="11"/>
      <c r="J31" s="29"/>
      <c r="K31" s="29"/>
      <c r="L31" s="29" t="s">
        <v>64</v>
      </c>
      <c r="M31" s="26"/>
    </row>
    <row r="32" ht="12.5" customHeight="1" spans="1:13">
      <c r="A32" s="11">
        <v>28</v>
      </c>
      <c r="B32" s="12">
        <v>45573</v>
      </c>
      <c r="C32" s="13" t="s">
        <v>95</v>
      </c>
      <c r="D32" s="11" t="s">
        <v>41</v>
      </c>
      <c r="E32" s="11"/>
      <c r="F32" s="26"/>
      <c r="G32" s="11"/>
      <c r="H32" s="11"/>
      <c r="I32" s="11"/>
      <c r="J32" s="29"/>
      <c r="K32" s="29"/>
      <c r="L32" s="29" t="s">
        <v>27</v>
      </c>
      <c r="M32" s="26"/>
    </row>
    <row r="33" ht="12.5" customHeight="1" spans="1:13">
      <c r="A33" s="11">
        <v>29</v>
      </c>
      <c r="B33" s="12">
        <v>45223</v>
      </c>
      <c r="C33" s="13" t="s">
        <v>247</v>
      </c>
      <c r="D33" s="11" t="s">
        <v>41</v>
      </c>
      <c r="E33" s="11"/>
      <c r="F33" s="26"/>
      <c r="G33" s="11"/>
      <c r="H33" s="11"/>
      <c r="I33" s="11"/>
      <c r="J33" s="29"/>
      <c r="K33" s="29"/>
      <c r="L33" s="29" t="s">
        <v>64</v>
      </c>
      <c r="M33" s="26"/>
    </row>
    <row r="34" ht="12.5" customHeight="1" spans="1:13">
      <c r="A34" s="11">
        <v>30</v>
      </c>
      <c r="B34" s="12">
        <v>45579</v>
      </c>
      <c r="C34" s="13" t="s">
        <v>103</v>
      </c>
      <c r="D34" s="11" t="s">
        <v>21</v>
      </c>
      <c r="E34" s="11"/>
      <c r="F34" s="26"/>
      <c r="G34" s="11"/>
      <c r="H34" s="11"/>
      <c r="I34" s="11"/>
      <c r="J34" s="29"/>
      <c r="K34" s="29"/>
      <c r="L34" s="29" t="s">
        <v>27</v>
      </c>
      <c r="M34" s="26"/>
    </row>
    <row r="35" ht="12.5" customHeight="1" spans="1:13">
      <c r="A35" s="11">
        <v>31</v>
      </c>
      <c r="B35" s="12">
        <v>45579</v>
      </c>
      <c r="C35" s="13" t="s">
        <v>107</v>
      </c>
      <c r="D35" s="11" t="s">
        <v>21</v>
      </c>
      <c r="E35" s="11"/>
      <c r="F35" s="26"/>
      <c r="G35" s="11"/>
      <c r="H35" s="11"/>
      <c r="I35" s="11"/>
      <c r="J35" s="29"/>
      <c r="K35" s="29"/>
      <c r="L35" s="29" t="s">
        <v>27</v>
      </c>
      <c r="M35" s="26"/>
    </row>
    <row r="36" ht="12.5" customHeight="1" spans="1:13">
      <c r="A36" s="11">
        <v>32</v>
      </c>
      <c r="B36" s="12">
        <v>45615</v>
      </c>
      <c r="C36" s="13" t="s">
        <v>109</v>
      </c>
      <c r="D36" s="11" t="s">
        <v>41</v>
      </c>
      <c r="E36" s="11"/>
      <c r="F36" s="26"/>
      <c r="G36" s="11"/>
      <c r="H36" s="11"/>
      <c r="I36" s="11"/>
      <c r="J36" s="29"/>
      <c r="K36" s="29"/>
      <c r="L36" s="29" t="s">
        <v>64</v>
      </c>
      <c r="M36" s="26"/>
    </row>
    <row r="37" ht="12.5" customHeight="1" spans="1:13">
      <c r="A37" s="11">
        <v>33</v>
      </c>
      <c r="B37" s="12">
        <v>45611</v>
      </c>
      <c r="C37" s="13" t="s">
        <v>112</v>
      </c>
      <c r="D37" s="11" t="s">
        <v>41</v>
      </c>
      <c r="E37" s="11"/>
      <c r="F37" s="26"/>
      <c r="G37" s="11"/>
      <c r="H37" s="11"/>
      <c r="I37" s="11"/>
      <c r="J37" s="29"/>
      <c r="K37" s="29"/>
      <c r="L37" s="29" t="s">
        <v>27</v>
      </c>
      <c r="M37" s="26"/>
    </row>
    <row r="38" ht="12.5" customHeight="1" spans="1:13">
      <c r="A38" s="11">
        <v>34</v>
      </c>
      <c r="B38" s="12">
        <v>45670</v>
      </c>
      <c r="C38" s="13" t="s">
        <v>113</v>
      </c>
      <c r="D38" s="11" t="s">
        <v>21</v>
      </c>
      <c r="E38" s="11"/>
      <c r="F38" s="26" t="s">
        <v>114</v>
      </c>
      <c r="G38" s="11" t="s">
        <v>115</v>
      </c>
      <c r="H38" s="11" t="s">
        <v>106</v>
      </c>
      <c r="I38" s="11"/>
      <c r="J38" s="29">
        <v>4893</v>
      </c>
      <c r="K38" s="29">
        <v>4893</v>
      </c>
      <c r="L38" s="29" t="s">
        <v>27</v>
      </c>
      <c r="M38" s="26"/>
    </row>
    <row r="39" spans="1:13">
      <c r="A39" s="11">
        <v>35</v>
      </c>
      <c r="B39" s="12">
        <v>45568</v>
      </c>
      <c r="C39" s="13" t="s">
        <v>124</v>
      </c>
      <c r="D39" s="11" t="s">
        <v>21</v>
      </c>
      <c r="E39" s="16" t="s">
        <v>125</v>
      </c>
      <c r="F39" s="26" t="s">
        <v>126</v>
      </c>
      <c r="G39" s="11" t="s">
        <v>127</v>
      </c>
      <c r="H39" s="11" t="s">
        <v>106</v>
      </c>
      <c r="I39" s="11"/>
      <c r="J39" s="29">
        <v>565636.2</v>
      </c>
      <c r="K39" s="29">
        <v>565636.2</v>
      </c>
      <c r="L39" s="29" t="s">
        <v>27</v>
      </c>
      <c r="M39" s="26"/>
    </row>
    <row r="40" spans="1:13">
      <c r="A40" s="11">
        <v>36</v>
      </c>
      <c r="B40" s="12">
        <v>45568</v>
      </c>
      <c r="C40" s="13" t="s">
        <v>128</v>
      </c>
      <c r="D40" s="11" t="s">
        <v>21</v>
      </c>
      <c r="E40" s="19"/>
      <c r="F40" s="26" t="s">
        <v>129</v>
      </c>
      <c r="G40" s="11" t="s">
        <v>130</v>
      </c>
      <c r="H40" s="11" t="s">
        <v>106</v>
      </c>
      <c r="I40" s="11"/>
      <c r="J40" s="29">
        <v>187244.18</v>
      </c>
      <c r="K40" s="29">
        <v>187244.18</v>
      </c>
      <c r="L40" s="29" t="s">
        <v>27</v>
      </c>
      <c r="M40" s="26"/>
    </row>
    <row r="41" spans="1:13">
      <c r="A41" s="11">
        <v>37</v>
      </c>
      <c r="B41" s="12">
        <v>45568</v>
      </c>
      <c r="C41" s="13" t="s">
        <v>132</v>
      </c>
      <c r="D41" s="11" t="s">
        <v>21</v>
      </c>
      <c r="E41" s="19"/>
      <c r="F41" s="26" t="s">
        <v>133</v>
      </c>
      <c r="G41" s="11"/>
      <c r="H41" s="11" t="s">
        <v>33</v>
      </c>
      <c r="I41" s="11"/>
      <c r="J41" s="29">
        <v>997529.4</v>
      </c>
      <c r="K41" s="29">
        <v>997529.4</v>
      </c>
      <c r="L41" s="29" t="s">
        <v>27</v>
      </c>
      <c r="M41" s="26"/>
    </row>
    <row r="42" spans="1:13">
      <c r="A42" s="11">
        <v>38</v>
      </c>
      <c r="B42" s="12">
        <v>45568</v>
      </c>
      <c r="C42" s="13" t="s">
        <v>134</v>
      </c>
      <c r="D42" s="11" t="s">
        <v>21</v>
      </c>
      <c r="E42" s="22"/>
      <c r="F42" s="26"/>
      <c r="G42" s="11"/>
      <c r="H42" s="11"/>
      <c r="I42" s="11"/>
      <c r="J42" s="29">
        <v>443853.15</v>
      </c>
      <c r="K42" s="29">
        <v>443853.15</v>
      </c>
      <c r="L42" s="29" t="s">
        <v>27</v>
      </c>
      <c r="M42" s="26"/>
    </row>
    <row r="43" ht="14.5" customHeight="1" spans="1:13">
      <c r="A43" s="11">
        <v>39</v>
      </c>
      <c r="B43" s="12">
        <v>45544</v>
      </c>
      <c r="C43" s="13" t="s">
        <v>137</v>
      </c>
      <c r="D43" s="11" t="s">
        <v>138</v>
      </c>
      <c r="E43" s="16" t="s">
        <v>139</v>
      </c>
      <c r="F43" s="26"/>
      <c r="G43" s="11"/>
      <c r="H43" s="11"/>
      <c r="I43" s="11"/>
      <c r="J43" s="29"/>
      <c r="K43" s="29"/>
      <c r="L43" s="29" t="s">
        <v>27</v>
      </c>
      <c r="M43" s="26"/>
    </row>
    <row r="44" spans="1:13">
      <c r="A44" s="11">
        <v>40</v>
      </c>
      <c r="B44" s="12">
        <v>45576</v>
      </c>
      <c r="C44" s="13" t="s">
        <v>140</v>
      </c>
      <c r="D44" s="11" t="s">
        <v>21</v>
      </c>
      <c r="E44" s="19"/>
      <c r="F44" s="26" t="s">
        <v>141</v>
      </c>
      <c r="G44" s="11" t="s">
        <v>142</v>
      </c>
      <c r="H44" s="11" t="s">
        <v>106</v>
      </c>
      <c r="I44" s="11"/>
      <c r="J44" s="29">
        <v>115425</v>
      </c>
      <c r="K44" s="29">
        <v>115425</v>
      </c>
      <c r="L44" s="29" t="s">
        <v>27</v>
      </c>
      <c r="M44" s="26"/>
    </row>
    <row r="45" spans="1:13">
      <c r="A45" s="11">
        <v>41</v>
      </c>
      <c r="B45" s="12">
        <v>45576</v>
      </c>
      <c r="C45" s="13" t="s">
        <v>144</v>
      </c>
      <c r="D45" s="11" t="s">
        <v>21</v>
      </c>
      <c r="E45" s="19"/>
      <c r="F45" s="26" t="s">
        <v>145</v>
      </c>
      <c r="G45" s="11" t="s">
        <v>146</v>
      </c>
      <c r="H45" s="11" t="s">
        <v>106</v>
      </c>
      <c r="I45" s="11"/>
      <c r="J45" s="29">
        <v>420300</v>
      </c>
      <c r="K45" s="29">
        <v>420300</v>
      </c>
      <c r="L45" s="29" t="s">
        <v>27</v>
      </c>
      <c r="M45" s="26"/>
    </row>
    <row r="46" spans="1:14">
      <c r="A46" s="11">
        <v>42</v>
      </c>
      <c r="B46" s="12">
        <v>45576</v>
      </c>
      <c r="C46" s="13" t="s">
        <v>147</v>
      </c>
      <c r="D46" s="11" t="s">
        <v>41</v>
      </c>
      <c r="E46" s="19"/>
      <c r="F46" s="26"/>
      <c r="G46" s="11"/>
      <c r="H46" s="11"/>
      <c r="I46" s="11"/>
      <c r="J46" s="29"/>
      <c r="K46" s="29"/>
      <c r="L46" s="29" t="s">
        <v>27</v>
      </c>
      <c r="M46" s="26"/>
      <c r="N46" s="36"/>
    </row>
    <row r="47" spans="1:13">
      <c r="A47" s="11">
        <v>43</v>
      </c>
      <c r="B47" s="12">
        <v>45594</v>
      </c>
      <c r="C47" s="13" t="s">
        <v>148</v>
      </c>
      <c r="D47" s="11" t="s">
        <v>21</v>
      </c>
      <c r="E47" s="19"/>
      <c r="F47" s="26" t="s">
        <v>149</v>
      </c>
      <c r="G47" s="11" t="s">
        <v>150</v>
      </c>
      <c r="H47" s="11" t="s">
        <v>106</v>
      </c>
      <c r="I47" s="11"/>
      <c r="J47" s="29">
        <v>101650</v>
      </c>
      <c r="K47" s="29">
        <v>101650</v>
      </c>
      <c r="L47" s="29" t="s">
        <v>27</v>
      </c>
      <c r="M47" s="26"/>
    </row>
    <row r="48" spans="1:13">
      <c r="A48" s="11">
        <v>44</v>
      </c>
      <c r="B48" s="12">
        <v>45601</v>
      </c>
      <c r="C48" s="13" t="s">
        <v>151</v>
      </c>
      <c r="D48" s="11" t="s">
        <v>21</v>
      </c>
      <c r="E48" s="19"/>
      <c r="F48" s="26" t="s">
        <v>152</v>
      </c>
      <c r="G48" s="11" t="s">
        <v>153</v>
      </c>
      <c r="H48" s="11" t="s">
        <v>106</v>
      </c>
      <c r="I48" s="11"/>
      <c r="J48" s="29">
        <v>36293</v>
      </c>
      <c r="K48" s="29">
        <v>36293</v>
      </c>
      <c r="L48" s="29" t="s">
        <v>27</v>
      </c>
      <c r="M48" s="26"/>
    </row>
    <row r="49" spans="1:13">
      <c r="A49" s="11">
        <v>45</v>
      </c>
      <c r="B49" s="12">
        <v>45602</v>
      </c>
      <c r="C49" s="13" t="s">
        <v>154</v>
      </c>
      <c r="D49" s="11" t="s">
        <v>21</v>
      </c>
      <c r="E49" s="19"/>
      <c r="F49" s="26" t="s">
        <v>155</v>
      </c>
      <c r="G49" s="11" t="s">
        <v>156</v>
      </c>
      <c r="H49" s="11" t="s">
        <v>106</v>
      </c>
      <c r="I49" s="11"/>
      <c r="J49" s="29">
        <v>47120</v>
      </c>
      <c r="K49" s="29">
        <v>47120</v>
      </c>
      <c r="L49" s="29" t="s">
        <v>27</v>
      </c>
      <c r="M49" s="26"/>
    </row>
    <row r="50" ht="13" customHeight="1" spans="1:13">
      <c r="A50" s="11">
        <v>46</v>
      </c>
      <c r="B50" s="12">
        <v>45646</v>
      </c>
      <c r="C50" s="13" t="s">
        <v>158</v>
      </c>
      <c r="D50" s="11" t="s">
        <v>21</v>
      </c>
      <c r="E50" s="22"/>
      <c r="F50" s="26" t="s">
        <v>159</v>
      </c>
      <c r="G50" s="11"/>
      <c r="H50" s="11" t="s">
        <v>33</v>
      </c>
      <c r="I50" s="11"/>
      <c r="J50" s="35">
        <v>2788150</v>
      </c>
      <c r="K50" s="29">
        <f>2788150/7*0.8</f>
        <v>318645.714285714</v>
      </c>
      <c r="L50" s="29" t="s">
        <v>161</v>
      </c>
      <c r="M50" s="26" t="s">
        <v>162</v>
      </c>
    </row>
    <row r="51" ht="14.5" customHeight="1" spans="1:13">
      <c r="A51" s="11">
        <v>47</v>
      </c>
      <c r="B51" s="12">
        <v>45441</v>
      </c>
      <c r="C51" s="13" t="s">
        <v>173</v>
      </c>
      <c r="D51" s="11" t="s">
        <v>21</v>
      </c>
      <c r="E51" s="16" t="s">
        <v>174</v>
      </c>
      <c r="F51" s="26"/>
      <c r="G51" s="11"/>
      <c r="H51" s="11"/>
      <c r="I51" s="11"/>
      <c r="J51" s="29">
        <v>49692</v>
      </c>
      <c r="K51" s="29">
        <v>49692</v>
      </c>
      <c r="L51" s="29" t="s">
        <v>27</v>
      </c>
      <c r="M51" s="26"/>
    </row>
    <row r="52" ht="13" customHeight="1" spans="1:13">
      <c r="A52" s="11">
        <v>48</v>
      </c>
      <c r="B52" s="12">
        <v>45614</v>
      </c>
      <c r="C52" s="13" t="s">
        <v>175</v>
      </c>
      <c r="D52" s="11" t="s">
        <v>21</v>
      </c>
      <c r="E52" s="19"/>
      <c r="F52" s="26" t="s">
        <v>176</v>
      </c>
      <c r="G52" s="11" t="s">
        <v>177</v>
      </c>
      <c r="H52" s="11" t="s">
        <v>39</v>
      </c>
      <c r="I52" s="11"/>
      <c r="J52" s="29">
        <v>21610</v>
      </c>
      <c r="K52" s="29">
        <f>21610*0.5</f>
        <v>10805</v>
      </c>
      <c r="L52" s="29" t="s">
        <v>178</v>
      </c>
      <c r="M52" s="26" t="s">
        <v>98</v>
      </c>
    </row>
    <row r="53" spans="1:13">
      <c r="A53" s="11">
        <v>49</v>
      </c>
      <c r="B53" s="12">
        <v>45667</v>
      </c>
      <c r="C53" s="13" t="s">
        <v>236</v>
      </c>
      <c r="D53" s="11" t="s">
        <v>21</v>
      </c>
      <c r="E53" s="19"/>
      <c r="F53" s="26" t="s">
        <v>180</v>
      </c>
      <c r="G53" s="11"/>
      <c r="H53" s="11" t="s">
        <v>33</v>
      </c>
      <c r="I53" s="11"/>
      <c r="J53" s="29">
        <v>83457</v>
      </c>
      <c r="K53" s="29">
        <v>83457</v>
      </c>
      <c r="L53" s="29" t="s">
        <v>27</v>
      </c>
      <c r="M53" s="26"/>
    </row>
    <row r="54" spans="1:13">
      <c r="A54" s="11">
        <v>50</v>
      </c>
      <c r="B54" s="12">
        <v>45678</v>
      </c>
      <c r="C54" s="13" t="s">
        <v>181</v>
      </c>
      <c r="D54" s="11" t="s">
        <v>41</v>
      </c>
      <c r="E54" s="22"/>
      <c r="F54" s="26"/>
      <c r="G54" s="11"/>
      <c r="H54" s="11"/>
      <c r="I54" s="11"/>
      <c r="J54" s="29"/>
      <c r="K54" s="29"/>
      <c r="L54" s="29" t="s">
        <v>178</v>
      </c>
      <c r="M54" s="26"/>
    </row>
    <row r="55" spans="1:13">
      <c r="A55" s="11">
        <v>51</v>
      </c>
      <c r="B55" s="12">
        <v>45580</v>
      </c>
      <c r="C55" s="13" t="s">
        <v>182</v>
      </c>
      <c r="D55" s="11" t="s">
        <v>21</v>
      </c>
      <c r="E55" s="11" t="s">
        <v>184</v>
      </c>
      <c r="F55" s="26" t="s">
        <v>185</v>
      </c>
      <c r="G55" s="11" t="s">
        <v>186</v>
      </c>
      <c r="H55" s="11" t="s">
        <v>39</v>
      </c>
      <c r="I55" s="11"/>
      <c r="J55" s="29">
        <v>80000</v>
      </c>
      <c r="K55" s="29">
        <v>80000</v>
      </c>
      <c r="L55" s="29" t="s">
        <v>27</v>
      </c>
      <c r="M55" s="26"/>
    </row>
    <row r="56" spans="1:13">
      <c r="A56" s="11">
        <v>52</v>
      </c>
      <c r="B56" s="12">
        <v>45525</v>
      </c>
      <c r="C56" s="13" t="s">
        <v>197</v>
      </c>
      <c r="D56" s="11" t="s">
        <v>21</v>
      </c>
      <c r="E56" s="16" t="s">
        <v>198</v>
      </c>
      <c r="F56" s="26" t="s">
        <v>199</v>
      </c>
      <c r="G56" s="11"/>
      <c r="H56" s="11" t="s">
        <v>33</v>
      </c>
      <c r="I56" s="11"/>
      <c r="J56" s="35">
        <v>7733.76</v>
      </c>
      <c r="K56" s="29">
        <f>7733.76/7</f>
        <v>1104.82285714286</v>
      </c>
      <c r="L56" s="29" t="s">
        <v>27</v>
      </c>
      <c r="M56" s="26"/>
    </row>
    <row r="57" spans="1:13">
      <c r="A57" s="11">
        <v>53</v>
      </c>
      <c r="B57" s="12">
        <v>45525</v>
      </c>
      <c r="C57" s="13" t="s">
        <v>201</v>
      </c>
      <c r="D57" s="11" t="s">
        <v>21</v>
      </c>
      <c r="E57" s="19"/>
      <c r="F57" s="26" t="s">
        <v>202</v>
      </c>
      <c r="G57" s="11"/>
      <c r="H57" s="11" t="s">
        <v>33</v>
      </c>
      <c r="I57" s="11"/>
      <c r="J57" s="35">
        <v>15989.76</v>
      </c>
      <c r="K57" s="29">
        <f>15989.76/7</f>
        <v>2284.25142857143</v>
      </c>
      <c r="L57" s="29" t="s">
        <v>27</v>
      </c>
      <c r="M57" s="26"/>
    </row>
    <row r="58" spans="1:13">
      <c r="A58" s="11">
        <v>54</v>
      </c>
      <c r="B58" s="12">
        <v>45565</v>
      </c>
      <c r="C58" s="13" t="s">
        <v>203</v>
      </c>
      <c r="D58" s="11" t="s">
        <v>21</v>
      </c>
      <c r="E58" s="19"/>
      <c r="F58" s="26" t="s">
        <v>204</v>
      </c>
      <c r="G58" s="11"/>
      <c r="H58" s="11" t="s">
        <v>33</v>
      </c>
      <c r="I58" s="11"/>
      <c r="J58" s="35">
        <v>3840</v>
      </c>
      <c r="K58" s="29">
        <f>3840/7</f>
        <v>548.571428571429</v>
      </c>
      <c r="L58" s="29" t="s">
        <v>27</v>
      </c>
      <c r="M58" s="26"/>
    </row>
    <row r="59" ht="14.5" customHeight="1" spans="1:13">
      <c r="A59" s="11">
        <v>55</v>
      </c>
      <c r="B59" s="12">
        <v>45678</v>
      </c>
      <c r="C59" s="13" t="s">
        <v>209</v>
      </c>
      <c r="D59" s="11" t="s">
        <v>21</v>
      </c>
      <c r="E59" s="19"/>
      <c r="F59" s="26" t="s">
        <v>210</v>
      </c>
      <c r="G59" s="11"/>
      <c r="H59" s="11" t="s">
        <v>33</v>
      </c>
      <c r="I59" s="11"/>
      <c r="J59" s="35">
        <v>6816</v>
      </c>
      <c r="K59" s="29">
        <f>6816/7</f>
        <v>973.714285714286</v>
      </c>
      <c r="L59" s="29" t="s">
        <v>27</v>
      </c>
      <c r="M59" s="26"/>
    </row>
    <row r="60" spans="1:13">
      <c r="A60" s="11">
        <v>56</v>
      </c>
      <c r="B60" s="12">
        <v>45678</v>
      </c>
      <c r="C60" s="13" t="s">
        <v>212</v>
      </c>
      <c r="D60" s="11" t="s">
        <v>21</v>
      </c>
      <c r="E60" s="19"/>
      <c r="F60" s="26"/>
      <c r="G60" s="11"/>
      <c r="H60" s="11"/>
      <c r="I60" s="11"/>
      <c r="J60" s="35">
        <v>672</v>
      </c>
      <c r="K60" s="29">
        <f>672/7</f>
        <v>96</v>
      </c>
      <c r="L60" s="29" t="s">
        <v>27</v>
      </c>
      <c r="M60" s="26"/>
    </row>
    <row r="61" spans="1:13">
      <c r="A61" s="11">
        <v>57</v>
      </c>
      <c r="B61" s="12">
        <v>45678</v>
      </c>
      <c r="C61" s="13" t="s">
        <v>213</v>
      </c>
      <c r="D61" s="11" t="s">
        <v>21</v>
      </c>
      <c r="E61" s="19"/>
      <c r="F61" s="26"/>
      <c r="G61" s="11"/>
      <c r="H61" s="11"/>
      <c r="I61" s="11"/>
      <c r="J61" s="35">
        <v>3840</v>
      </c>
      <c r="K61" s="29">
        <f>3840/7</f>
        <v>548.571428571429</v>
      </c>
      <c r="L61" s="29" t="s">
        <v>27</v>
      </c>
      <c r="M61" s="26"/>
    </row>
    <row r="62" spans="1:13">
      <c r="A62" s="11">
        <v>58</v>
      </c>
      <c r="B62" s="12">
        <v>45678</v>
      </c>
      <c r="C62" s="13" t="s">
        <v>214</v>
      </c>
      <c r="D62" s="11" t="s">
        <v>21</v>
      </c>
      <c r="E62" s="19"/>
      <c r="F62" s="26"/>
      <c r="G62" s="11"/>
      <c r="H62" s="11"/>
      <c r="I62" s="11"/>
      <c r="J62" s="35">
        <v>7488</v>
      </c>
      <c r="K62" s="29">
        <f>7488/7</f>
        <v>1069.71428571429</v>
      </c>
      <c r="L62" s="29" t="s">
        <v>27</v>
      </c>
      <c r="M62" s="26"/>
    </row>
    <row r="63" spans="1:13">
      <c r="A63" s="11">
        <v>59</v>
      </c>
      <c r="B63" s="12">
        <v>45678</v>
      </c>
      <c r="C63" s="13" t="s">
        <v>215</v>
      </c>
      <c r="D63" s="11" t="s">
        <v>21</v>
      </c>
      <c r="E63" s="19"/>
      <c r="F63" s="26" t="s">
        <v>216</v>
      </c>
      <c r="G63" s="11"/>
      <c r="H63" s="11" t="s">
        <v>33</v>
      </c>
      <c r="I63" s="11"/>
      <c r="J63" s="35">
        <v>59520.12</v>
      </c>
      <c r="K63" s="29">
        <f>59520.12/7</f>
        <v>8502.87428571429</v>
      </c>
      <c r="L63" s="29" t="s">
        <v>27</v>
      </c>
      <c r="M63" s="26"/>
    </row>
    <row r="64" spans="1:13">
      <c r="A64" s="11">
        <v>60</v>
      </c>
      <c r="B64" s="12">
        <v>45678</v>
      </c>
      <c r="C64" s="13" t="s">
        <v>217</v>
      </c>
      <c r="D64" s="11" t="s">
        <v>21</v>
      </c>
      <c r="E64" s="22"/>
      <c r="F64" s="26"/>
      <c r="G64" s="11"/>
      <c r="H64" s="11"/>
      <c r="I64" s="11"/>
      <c r="J64" s="35">
        <v>11094.34</v>
      </c>
      <c r="K64" s="29">
        <f>11094.34/7</f>
        <v>1584.90571428571</v>
      </c>
      <c r="L64" s="29" t="s">
        <v>27</v>
      </c>
      <c r="M64" s="26"/>
    </row>
    <row r="65" spans="1:12">
      <c r="A65" s="1"/>
      <c r="L65" s="38"/>
    </row>
    <row r="66" spans="10:11">
      <c r="J66" s="39" t="s">
        <v>228</v>
      </c>
      <c r="K66" s="40">
        <f>SUM(K3:K64)</f>
        <v>4323839.23</v>
      </c>
    </row>
    <row r="67" spans="10:10">
      <c r="J67" s="2"/>
    </row>
    <row r="68" spans="10:10">
      <c r="J68" s="2"/>
    </row>
    <row r="70" spans="10:11">
      <c r="J70" s="2"/>
      <c r="K70" s="2"/>
    </row>
    <row r="71" spans="10:11">
      <c r="J71" s="2"/>
      <c r="K71" s="2"/>
    </row>
    <row r="72" spans="5:11">
      <c r="E72" s="5"/>
      <c r="F72" s="37"/>
      <c r="G72" s="5"/>
      <c r="H72" s="5"/>
      <c r="I72" s="5"/>
      <c r="J72" s="2"/>
      <c r="K72" s="2"/>
    </row>
    <row r="73" spans="5:12">
      <c r="E73" s="5"/>
      <c r="F73" s="37"/>
      <c r="G73" s="5"/>
      <c r="H73" s="5"/>
      <c r="I73" s="5"/>
      <c r="J73" s="2"/>
      <c r="K73" s="2"/>
      <c r="L73" s="2"/>
    </row>
    <row r="74" spans="5:12">
      <c r="E74" s="5"/>
      <c r="F74" s="37"/>
      <c r="G74" s="5"/>
      <c r="H74" s="5"/>
      <c r="I74" s="5"/>
      <c r="J74" s="2"/>
      <c r="K74" s="2"/>
      <c r="L74" s="2"/>
    </row>
    <row r="75" spans="10:11">
      <c r="J75" s="2"/>
      <c r="K75" s="2"/>
    </row>
    <row r="76" spans="5:11">
      <c r="E76" s="5"/>
      <c r="F76" s="37"/>
      <c r="G76" s="5"/>
      <c r="H76" s="5"/>
      <c r="I76" s="5"/>
      <c r="J76" s="2"/>
      <c r="K76" s="2"/>
    </row>
    <row r="77" spans="5:11">
      <c r="E77" s="5"/>
      <c r="F77" s="37"/>
      <c r="G77" s="5"/>
      <c r="H77" s="5"/>
      <c r="I77" s="5"/>
      <c r="J77" s="2"/>
      <c r="K77" s="2"/>
    </row>
    <row r="78" spans="5:9">
      <c r="E78" s="5"/>
      <c r="F78" s="37"/>
      <c r="G78" s="5"/>
      <c r="H78" s="5"/>
      <c r="I78" s="5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2:M64" etc:filterBottomFollowUsedRange="0">
    <extLst/>
  </autoFilter>
  <mergeCells count="15">
    <mergeCell ref="A1:L1"/>
    <mergeCell ref="A12:A14"/>
    <mergeCell ref="B12:B14"/>
    <mergeCell ref="C12:C14"/>
    <mergeCell ref="D12:D14"/>
    <mergeCell ref="E3:E11"/>
    <mergeCell ref="E12:E16"/>
    <mergeCell ref="E17:E27"/>
    <mergeCell ref="E28:E38"/>
    <mergeCell ref="E39:E42"/>
    <mergeCell ref="E43:E50"/>
    <mergeCell ref="E51:E54"/>
    <mergeCell ref="E56:E64"/>
    <mergeCell ref="J12:J14"/>
    <mergeCell ref="K12:K14"/>
  </mergeCells>
  <pageMargins left="0.75" right="0.75" top="1" bottom="1" header="0.5" footer="0.5"/>
  <pageSetup paperSize="1" orientation="portrait" horizontalDpi="1200" verticalDpi="12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8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user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8"/>
  <pixelatorList sheetStid="6"/>
  <pixelatorList sheetStid="5"/>
  <pixelatorList sheetStid="9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WWO_feishu_20241028185521-3ecd29d096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2025-March</vt:lpstr>
      <vt:lpstr>2025-February</vt:lpstr>
      <vt:lpstr>2025-January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QI</dc:creator>
  <cp:lastModifiedBy>Cherie HUANG</cp:lastModifiedBy>
  <dcterms:created xsi:type="dcterms:W3CDTF">2023-04-23T16:58:00Z</dcterms:created>
  <dcterms:modified xsi:type="dcterms:W3CDTF">2025-03-01T19:48:00Z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24D8A6FD7EFD4158A4908DFD7F9DDA46_13</vt:lpwstr>
  </property>
  <property fmtid="{D5CDD505-2E9C-101B-9397-08002B2CF9AE}" pid="3" name="KSOProductBuildVer">
    <vt:lpwstr>2052-0.0.0.0</vt:lpwstr>
  </property>
</Properties>
</file>